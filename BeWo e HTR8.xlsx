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hy\Desktop\Doutorado\Artigo da NLS-Cur\"/>
    </mc:Choice>
  </mc:AlternateContent>
  <xr:revisionPtr revIDLastSave="0" documentId="13_ncr:1_{9AFFDCD3-A6B1-4C88-A0E3-07F88882EDAF}" xr6:coauthVersionLast="47" xr6:coauthVersionMax="47" xr10:uidLastSave="{00000000-0000-0000-0000-000000000000}"/>
  <bookViews>
    <workbookView xWindow="-108" yWindow="-108" windowWidth="23256" windowHeight="12456" activeTab="1" xr2:uid="{25EC8530-0CE5-49F0-8625-443A57BA9E25}"/>
  </bookViews>
  <sheets>
    <sheet name="Westernblot -HTR8" sheetId="1" r:id="rId1"/>
    <sheet name="qPCR - HTR8" sheetId="2" r:id="rId2"/>
    <sheet name="qPCR - BeWo" sheetId="3" r:id="rId3"/>
    <sheet name="Westernblot - bewo" sheetId="4" r:id="rId4"/>
    <sheet name="BEWO SRB" sheetId="5" r:id="rId5"/>
    <sheet name="HTR8 SRB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5" i="2" l="1"/>
  <c r="AA42" i="2"/>
  <c r="AA45" i="2"/>
  <c r="AB37" i="2"/>
  <c r="AB31" i="2"/>
  <c r="AB34" i="2"/>
  <c r="S35" i="4"/>
  <c r="T35" i="4"/>
  <c r="U35" i="4"/>
  <c r="V35" i="4"/>
  <c r="S36" i="4"/>
  <c r="T36" i="4"/>
  <c r="U36" i="4"/>
  <c r="V36" i="4"/>
  <c r="T34" i="4"/>
  <c r="U34" i="4"/>
  <c r="V34" i="4"/>
  <c r="S34" i="4"/>
  <c r="S31" i="4"/>
  <c r="D41" i="4"/>
  <c r="I42" i="4"/>
  <c r="I43" i="4"/>
  <c r="I44" i="4"/>
  <c r="I45" i="4"/>
  <c r="I41" i="4"/>
  <c r="N31" i="4"/>
  <c r="Q36" i="4" s="1"/>
  <c r="D42" i="4"/>
  <c r="D43" i="4"/>
  <c r="D44" i="4"/>
  <c r="K44" i="4" s="1"/>
  <c r="D45" i="4"/>
  <c r="I35" i="4"/>
  <c r="I36" i="4"/>
  <c r="I37" i="4"/>
  <c r="K37" i="4" s="1"/>
  <c r="I38" i="4"/>
  <c r="I34" i="4"/>
  <c r="I28" i="4"/>
  <c r="K28" i="4" s="1"/>
  <c r="I29" i="4"/>
  <c r="K29" i="4" s="1"/>
  <c r="I30" i="4"/>
  <c r="K30" i="4" s="1"/>
  <c r="I31" i="4"/>
  <c r="I27" i="4"/>
  <c r="D28" i="4"/>
  <c r="D29" i="4"/>
  <c r="D30" i="4"/>
  <c r="D31" i="4"/>
  <c r="D27" i="4"/>
  <c r="D35" i="4"/>
  <c r="D36" i="4"/>
  <c r="D37" i="4"/>
  <c r="D38" i="4"/>
  <c r="D34" i="4"/>
  <c r="K34" i="4" s="1"/>
  <c r="O12" i="4"/>
  <c r="O11" i="4"/>
  <c r="P11" i="4"/>
  <c r="Q11" i="4"/>
  <c r="N8" i="4"/>
  <c r="N12" i="4" s="1"/>
  <c r="K13" i="4"/>
  <c r="K14" i="4"/>
  <c r="D19" i="4"/>
  <c r="D20" i="4"/>
  <c r="D21" i="4"/>
  <c r="D22" i="4"/>
  <c r="D18" i="4"/>
  <c r="D12" i="4"/>
  <c r="D13" i="4"/>
  <c r="D14" i="4"/>
  <c r="D15" i="4"/>
  <c r="D11" i="4"/>
  <c r="I19" i="4"/>
  <c r="K19" i="4" s="1"/>
  <c r="I20" i="4"/>
  <c r="I21" i="4"/>
  <c r="I22" i="4"/>
  <c r="I18" i="4"/>
  <c r="I12" i="4"/>
  <c r="I13" i="4"/>
  <c r="I14" i="4"/>
  <c r="I15" i="4"/>
  <c r="I11" i="4"/>
  <c r="K11" i="4" s="1"/>
  <c r="I5" i="4"/>
  <c r="K5" i="4" s="1"/>
  <c r="I6" i="4"/>
  <c r="K6" i="4" s="1"/>
  <c r="I7" i="4"/>
  <c r="I8" i="4"/>
  <c r="I4" i="4"/>
  <c r="D5" i="4"/>
  <c r="D6" i="4"/>
  <c r="D7" i="4"/>
  <c r="D8" i="4"/>
  <c r="D4" i="4"/>
  <c r="K4" i="4" s="1"/>
  <c r="K12" i="4" l="1"/>
  <c r="K36" i="4"/>
  <c r="P13" i="4"/>
  <c r="K18" i="4"/>
  <c r="O13" i="4"/>
  <c r="K21" i="4"/>
  <c r="N13" i="4"/>
  <c r="Q13" i="4"/>
  <c r="K35" i="4"/>
  <c r="K7" i="4"/>
  <c r="K20" i="4"/>
  <c r="P12" i="4"/>
  <c r="K27" i="4"/>
  <c r="N11" i="4"/>
  <c r="K41" i="4"/>
  <c r="K43" i="4"/>
  <c r="K42" i="4"/>
  <c r="Q12" i="4"/>
  <c r="O36" i="4"/>
  <c r="Q35" i="4"/>
  <c r="N36" i="4"/>
  <c r="O35" i="4"/>
  <c r="P36" i="4"/>
  <c r="P34" i="4"/>
  <c r="P35" i="4"/>
  <c r="Q34" i="4"/>
  <c r="O34" i="4"/>
  <c r="N34" i="4"/>
  <c r="N35" i="4"/>
  <c r="L28" i="1"/>
  <c r="K31" i="1"/>
  <c r="K30" i="1"/>
  <c r="K29" i="1"/>
  <c r="K28" i="1"/>
  <c r="J30" i="1"/>
  <c r="J29" i="1"/>
  <c r="J28" i="1"/>
  <c r="L24" i="1"/>
  <c r="N20" i="1"/>
  <c r="N19" i="1"/>
  <c r="N18" i="1"/>
  <c r="N17" i="1"/>
  <c r="O20" i="1"/>
  <c r="O19" i="1"/>
  <c r="O18" i="1"/>
  <c r="O17" i="1"/>
  <c r="N13" i="1"/>
  <c r="O13" i="1"/>
  <c r="O12" i="1"/>
  <c r="O11" i="1"/>
  <c r="N10" i="1"/>
  <c r="O10" i="1"/>
  <c r="O6" i="1"/>
  <c r="O5" i="1"/>
  <c r="J3" i="1"/>
  <c r="O4" i="1"/>
  <c r="O3" i="1"/>
  <c r="N3" i="1"/>
  <c r="D3" i="1"/>
  <c r="Z42" i="2"/>
  <c r="W45" i="2"/>
  <c r="W44" i="2"/>
  <c r="W43" i="2"/>
  <c r="W42" i="2"/>
  <c r="R42" i="2"/>
  <c r="Z43" i="2" s="1"/>
  <c r="P42" i="2"/>
  <c r="M18" i="3"/>
  <c r="M17" i="3"/>
  <c r="P17" i="3"/>
  <c r="P21" i="3"/>
  <c r="P22" i="3"/>
  <c r="P20" i="3"/>
  <c r="P19" i="3"/>
  <c r="P18" i="3"/>
  <c r="F18" i="3"/>
  <c r="F17" i="3"/>
  <c r="Z34" i="2"/>
  <c r="Z33" i="2"/>
  <c r="Z32" i="2"/>
  <c r="Z31" i="2"/>
  <c r="W32" i="2"/>
  <c r="W33" i="2"/>
  <c r="W34" i="2"/>
  <c r="W35" i="2"/>
  <c r="Z35" i="2" s="1"/>
  <c r="W36" i="2"/>
  <c r="W31" i="2"/>
  <c r="R31" i="2"/>
  <c r="P31" i="2"/>
  <c r="Z36" i="2"/>
  <c r="P36" i="2"/>
  <c r="P35" i="2"/>
  <c r="P34" i="2"/>
  <c r="P33" i="2"/>
  <c r="P32" i="2"/>
  <c r="P47" i="2"/>
  <c r="P46" i="2"/>
  <c r="P45" i="2"/>
  <c r="P44" i="2"/>
  <c r="P43" i="2"/>
  <c r="L4" i="2"/>
  <c r="F43" i="2"/>
  <c r="F42" i="2"/>
  <c r="M43" i="2"/>
  <c r="M42" i="2"/>
  <c r="M32" i="2"/>
  <c r="M31" i="2"/>
  <c r="F32" i="2"/>
  <c r="F31" i="2"/>
  <c r="J12" i="2"/>
  <c r="J11" i="2"/>
  <c r="J5" i="2"/>
  <c r="J4" i="2"/>
  <c r="W47" i="2" l="1"/>
  <c r="Z47" i="2" s="1"/>
  <c r="W46" i="2"/>
  <c r="Z46" i="2" s="1"/>
  <c r="Z45" i="2"/>
  <c r="Z44" i="2"/>
  <c r="R17" i="3"/>
  <c r="W20" i="3" s="1"/>
  <c r="Z20" i="3" s="1"/>
  <c r="P48" i="5"/>
  <c r="Q48" i="5"/>
  <c r="R48" i="5"/>
  <c r="S48" i="5"/>
  <c r="T48" i="5"/>
  <c r="U48" i="5"/>
  <c r="V48" i="5"/>
  <c r="W48" i="5"/>
  <c r="X48" i="5"/>
  <c r="Y48" i="5"/>
  <c r="Z48" i="5"/>
  <c r="P49" i="5"/>
  <c r="Q49" i="5"/>
  <c r="R49" i="5"/>
  <c r="S49" i="5"/>
  <c r="T49" i="5"/>
  <c r="U49" i="5"/>
  <c r="V49" i="5"/>
  <c r="W49" i="5"/>
  <c r="X49" i="5"/>
  <c r="Y49" i="5"/>
  <c r="Z49" i="5"/>
  <c r="P50" i="5"/>
  <c r="Q50" i="5"/>
  <c r="R50" i="5"/>
  <c r="S50" i="5"/>
  <c r="T50" i="5"/>
  <c r="U50" i="5"/>
  <c r="V50" i="5"/>
  <c r="W50" i="5"/>
  <c r="X50" i="5"/>
  <c r="Y50" i="5"/>
  <c r="Z50" i="5"/>
  <c r="P51" i="5"/>
  <c r="Q51" i="5"/>
  <c r="R51" i="5"/>
  <c r="S51" i="5"/>
  <c r="T51" i="5"/>
  <c r="U51" i="5"/>
  <c r="V51" i="5"/>
  <c r="W51" i="5"/>
  <c r="X51" i="5"/>
  <c r="Y51" i="5"/>
  <c r="Z51" i="5"/>
  <c r="P52" i="5"/>
  <c r="Q52" i="5"/>
  <c r="R52" i="5"/>
  <c r="S52" i="5"/>
  <c r="T52" i="5"/>
  <c r="U52" i="5"/>
  <c r="V52" i="5"/>
  <c r="W52" i="5"/>
  <c r="X52" i="5"/>
  <c r="Y52" i="5"/>
  <c r="Z52" i="5"/>
  <c r="P53" i="5"/>
  <c r="Q53" i="5"/>
  <c r="R53" i="5"/>
  <c r="S53" i="5"/>
  <c r="T53" i="5"/>
  <c r="U53" i="5"/>
  <c r="V53" i="5"/>
  <c r="W53" i="5"/>
  <c r="X53" i="5"/>
  <c r="Y53" i="5"/>
  <c r="Z53" i="5"/>
  <c r="P54" i="5"/>
  <c r="Q54" i="5"/>
  <c r="R54" i="5"/>
  <c r="S54" i="5"/>
  <c r="T54" i="5"/>
  <c r="U54" i="5"/>
  <c r="V54" i="5"/>
  <c r="W54" i="5"/>
  <c r="X54" i="5"/>
  <c r="Y54" i="5"/>
  <c r="Z54" i="5"/>
  <c r="P55" i="5"/>
  <c r="Q55" i="5"/>
  <c r="R55" i="5"/>
  <c r="S55" i="5"/>
  <c r="T55" i="5"/>
  <c r="U55" i="5"/>
  <c r="V55" i="5"/>
  <c r="W55" i="5"/>
  <c r="X55" i="5"/>
  <c r="Y55" i="5"/>
  <c r="Z55" i="5"/>
  <c r="P56" i="5"/>
  <c r="Q56" i="5"/>
  <c r="R56" i="5"/>
  <c r="S56" i="5"/>
  <c r="T56" i="5"/>
  <c r="U56" i="5"/>
  <c r="V56" i="5"/>
  <c r="W56" i="5"/>
  <c r="X56" i="5"/>
  <c r="Y56" i="5"/>
  <c r="Z56" i="5"/>
  <c r="P57" i="5"/>
  <c r="Q57" i="5"/>
  <c r="R57" i="5"/>
  <c r="S57" i="5"/>
  <c r="T57" i="5"/>
  <c r="U57" i="5"/>
  <c r="V57" i="5"/>
  <c r="W57" i="5"/>
  <c r="X57" i="5"/>
  <c r="Y57" i="5"/>
  <c r="Z57" i="5"/>
  <c r="P58" i="5"/>
  <c r="Q58" i="5"/>
  <c r="R58" i="5"/>
  <c r="S58" i="5"/>
  <c r="T58" i="5"/>
  <c r="U58" i="5"/>
  <c r="V58" i="5"/>
  <c r="W58" i="5"/>
  <c r="X58" i="5"/>
  <c r="Y58" i="5"/>
  <c r="Z58" i="5"/>
  <c r="P59" i="5"/>
  <c r="Q59" i="5"/>
  <c r="R59" i="5"/>
  <c r="S59" i="5"/>
  <c r="T59" i="5"/>
  <c r="U59" i="5"/>
  <c r="V59" i="5"/>
  <c r="W59" i="5"/>
  <c r="X59" i="5"/>
  <c r="Y59" i="5"/>
  <c r="Z59" i="5"/>
  <c r="P60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48" i="5"/>
  <c r="S22" i="5"/>
  <c r="S23" i="5"/>
  <c r="S24" i="5"/>
  <c r="S25" i="5"/>
  <c r="S26" i="5"/>
  <c r="S27" i="5"/>
  <c r="S28" i="5"/>
  <c r="S29" i="5"/>
  <c r="S30" i="5"/>
  <c r="S21" i="5"/>
  <c r="S20" i="5"/>
  <c r="L21" i="5"/>
  <c r="L22" i="5"/>
  <c r="L23" i="5"/>
  <c r="L24" i="5"/>
  <c r="L25" i="5"/>
  <c r="L26" i="5"/>
  <c r="L27" i="5"/>
  <c r="L28" i="5"/>
  <c r="L29" i="5"/>
  <c r="L30" i="5"/>
  <c r="L20" i="5"/>
  <c r="F21" i="5"/>
  <c r="F22" i="5"/>
  <c r="F23" i="5"/>
  <c r="F24" i="5"/>
  <c r="F25" i="5"/>
  <c r="F26" i="5"/>
  <c r="F27" i="5"/>
  <c r="F28" i="5"/>
  <c r="F29" i="5"/>
  <c r="F30" i="5"/>
  <c r="F20" i="5"/>
  <c r="W21" i="3" l="1"/>
  <c r="Z21" i="3" s="1"/>
  <c r="W22" i="3"/>
  <c r="Z22" i="3" s="1"/>
  <c r="W19" i="3"/>
  <c r="Z19" i="3" s="1"/>
  <c r="W17" i="3"/>
  <c r="Z17" i="3" s="1"/>
  <c r="W18" i="3"/>
  <c r="Z18" i="3" s="1"/>
  <c r="AA17" i="3"/>
  <c r="P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27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27" i="6"/>
  <c r="AA20" i="3" l="1"/>
  <c r="N54" i="1"/>
  <c r="N55" i="1"/>
  <c r="N56" i="1"/>
  <c r="N57" i="1"/>
  <c r="N53" i="1"/>
  <c r="N46" i="1"/>
  <c r="N47" i="1"/>
  <c r="N48" i="1"/>
  <c r="N49" i="1"/>
  <c r="N50" i="1"/>
  <c r="N40" i="1"/>
  <c r="N41" i="1"/>
  <c r="N42" i="1"/>
  <c r="N43" i="1"/>
  <c r="N39" i="1"/>
  <c r="I54" i="1"/>
  <c r="I55" i="1"/>
  <c r="I56" i="1"/>
  <c r="I57" i="1"/>
  <c r="I53" i="1"/>
  <c r="I47" i="1"/>
  <c r="I48" i="1"/>
  <c r="I49" i="1"/>
  <c r="I50" i="1"/>
  <c r="I46" i="1"/>
  <c r="I40" i="1"/>
  <c r="I41" i="1"/>
  <c r="I42" i="1"/>
  <c r="I43" i="1"/>
  <c r="I39" i="1"/>
  <c r="D54" i="1"/>
  <c r="D55" i="1"/>
  <c r="D56" i="1"/>
  <c r="D57" i="1"/>
  <c r="D53" i="1"/>
  <c r="D47" i="1"/>
  <c r="D48" i="1"/>
  <c r="D49" i="1"/>
  <c r="D50" i="1"/>
  <c r="D46" i="1"/>
  <c r="D40" i="1"/>
  <c r="D41" i="1"/>
  <c r="D42" i="1"/>
  <c r="D43" i="1"/>
  <c r="D39" i="1"/>
  <c r="O49" i="1"/>
  <c r="P7" i="3"/>
  <c r="O7" i="3"/>
  <c r="O10" i="2"/>
  <c r="P10" i="2"/>
  <c r="L6" i="3"/>
  <c r="E4" i="3"/>
  <c r="E5" i="3"/>
  <c r="E12" i="2"/>
  <c r="E11" i="2"/>
  <c r="E5" i="2"/>
  <c r="E4" i="2"/>
  <c r="L5" i="2" s="1"/>
  <c r="J4" i="3"/>
  <c r="J5" i="3"/>
  <c r="O42" i="1" l="1"/>
  <c r="L12" i="2"/>
  <c r="L11" i="2"/>
  <c r="L7" i="2"/>
  <c r="L6" i="2"/>
  <c r="L8" i="2"/>
  <c r="L9" i="2"/>
  <c r="L13" i="2"/>
  <c r="L14" i="2"/>
  <c r="O40" i="1"/>
  <c r="J39" i="1"/>
  <c r="J54" i="1"/>
  <c r="O56" i="1"/>
  <c r="O54" i="1"/>
  <c r="J55" i="1"/>
  <c r="O55" i="1"/>
  <c r="J56" i="1"/>
  <c r="J53" i="1"/>
  <c r="O53" i="1"/>
  <c r="J49" i="1"/>
  <c r="J46" i="1"/>
  <c r="O46" i="1"/>
  <c r="J48" i="1"/>
  <c r="O48" i="1"/>
  <c r="J47" i="1"/>
  <c r="O47" i="1"/>
  <c r="J41" i="1"/>
  <c r="O41" i="1"/>
  <c r="J40" i="1"/>
  <c r="J42" i="1"/>
  <c r="O39" i="1"/>
  <c r="L16" i="2"/>
  <c r="L15" i="2"/>
  <c r="L4" i="3"/>
  <c r="L9" i="3"/>
  <c r="L8" i="3"/>
  <c r="L5" i="3"/>
  <c r="L7" i="3"/>
  <c r="N4" i="1"/>
  <c r="N5" i="1"/>
  <c r="N6" i="1"/>
  <c r="N7" i="1"/>
  <c r="N11" i="1"/>
  <c r="N12" i="1"/>
  <c r="N14" i="1"/>
  <c r="N21" i="1"/>
  <c r="I18" i="1"/>
  <c r="J18" i="1" s="1"/>
  <c r="I19" i="1"/>
  <c r="J19" i="1" s="1"/>
  <c r="I20" i="1"/>
  <c r="J20" i="1" s="1"/>
  <c r="I21" i="1"/>
  <c r="I17" i="1"/>
  <c r="I11" i="1"/>
  <c r="I12" i="1"/>
  <c r="J12" i="1" s="1"/>
  <c r="I13" i="1"/>
  <c r="J13" i="1" s="1"/>
  <c r="I14" i="1"/>
  <c r="I10" i="1"/>
  <c r="J10" i="1" s="1"/>
  <c r="I4" i="1"/>
  <c r="I5" i="1"/>
  <c r="I6" i="1"/>
  <c r="I7" i="1"/>
  <c r="I3" i="1"/>
  <c r="D11" i="1"/>
  <c r="J11" i="1" s="1"/>
  <c r="D12" i="1"/>
  <c r="D13" i="1"/>
  <c r="D14" i="1"/>
  <c r="D10" i="1"/>
  <c r="D18" i="1"/>
  <c r="D19" i="1"/>
  <c r="D20" i="1"/>
  <c r="D21" i="1"/>
  <c r="D17" i="1"/>
  <c r="J17" i="1" s="1"/>
  <c r="D4" i="1"/>
  <c r="D5" i="1"/>
  <c r="D6" i="1"/>
  <c r="D7" i="1"/>
  <c r="L60" i="1" l="1"/>
  <c r="M64" i="1" s="1"/>
  <c r="J4" i="1"/>
  <c r="E66" i="1"/>
  <c r="G60" i="1"/>
  <c r="E64" i="1"/>
  <c r="G24" i="1"/>
  <c r="F30" i="1" s="1"/>
  <c r="E65" i="1"/>
  <c r="J5" i="1"/>
  <c r="J6" i="1"/>
  <c r="L29" i="1"/>
  <c r="J66" i="1"/>
  <c r="F64" i="1"/>
  <c r="G65" i="1"/>
  <c r="F65" i="1"/>
  <c r="J65" i="1"/>
  <c r="L66" i="1"/>
  <c r="G66" i="1"/>
  <c r="H65" i="1"/>
  <c r="J64" i="1"/>
  <c r="L64" i="1"/>
  <c r="H66" i="1"/>
  <c r="F66" i="1"/>
  <c r="H64" i="1"/>
  <c r="L65" i="1"/>
  <c r="G64" i="1"/>
  <c r="G28" i="1"/>
  <c r="E28" i="1" l="1"/>
  <c r="L30" i="1"/>
  <c r="M29" i="1"/>
  <c r="K66" i="1"/>
  <c r="M65" i="1"/>
  <c r="H30" i="1"/>
  <c r="F67" i="1"/>
  <c r="M30" i="1"/>
  <c r="K64" i="1"/>
  <c r="K65" i="1"/>
  <c r="E30" i="1"/>
  <c r="E29" i="1"/>
  <c r="G29" i="1"/>
  <c r="M66" i="1"/>
  <c r="M28" i="1"/>
  <c r="K67" i="1"/>
  <c r="G67" i="1"/>
  <c r="M67" i="1"/>
  <c r="L67" i="1"/>
  <c r="E67" i="1"/>
  <c r="J67" i="1"/>
  <c r="H67" i="1"/>
  <c r="F29" i="1"/>
  <c r="F28" i="1"/>
  <c r="F31" i="1" s="1"/>
  <c r="H29" i="1"/>
  <c r="G30" i="1"/>
  <c r="G31" i="1" s="1"/>
  <c r="E31" i="1"/>
  <c r="H28" i="1"/>
  <c r="L31" i="1" l="1"/>
  <c r="J31" i="1"/>
  <c r="M31" i="1"/>
  <c r="H31" i="1"/>
</calcChain>
</file>

<file path=xl/sharedStrings.xml><?xml version="1.0" encoding="utf-8"?>
<sst xmlns="http://schemas.openxmlformats.org/spreadsheetml/2006/main" count="342" uniqueCount="73">
  <si>
    <t>HTR8</t>
  </si>
  <si>
    <t>R1</t>
  </si>
  <si>
    <t>R2</t>
  </si>
  <si>
    <t>Endoglina</t>
  </si>
  <si>
    <t>PlFG</t>
  </si>
  <si>
    <t>Média C-</t>
  </si>
  <si>
    <t>C1</t>
  </si>
  <si>
    <t>C2</t>
  </si>
  <si>
    <t>C3</t>
  </si>
  <si>
    <t>C-</t>
  </si>
  <si>
    <t>PlGF</t>
  </si>
  <si>
    <t>GADPH</t>
  </si>
  <si>
    <t>IL-1B</t>
  </si>
  <si>
    <t>C0</t>
  </si>
  <si>
    <t>Estatística</t>
  </si>
  <si>
    <t>Bewo</t>
  </si>
  <si>
    <t>Primeiro Western Blot</t>
  </si>
  <si>
    <t>R3</t>
  </si>
  <si>
    <t>Proliferação</t>
  </si>
  <si>
    <t>0</t>
  </si>
  <si>
    <t>0,0005</t>
  </si>
  <si>
    <t>0,001</t>
  </si>
  <si>
    <t>0,016</t>
  </si>
  <si>
    <t>0,256</t>
  </si>
  <si>
    <t>8,192</t>
  </si>
  <si>
    <t>131,072</t>
  </si>
  <si>
    <t>1048,58</t>
  </si>
  <si>
    <t>2097,3</t>
  </si>
  <si>
    <t>0.0005</t>
  </si>
  <si>
    <t>0.001</t>
  </si>
  <si>
    <t>0.016</t>
  </si>
  <si>
    <t>0.256</t>
  </si>
  <si>
    <t>8.2</t>
  </si>
  <si>
    <t>131.1</t>
  </si>
  <si>
    <t>524.3</t>
  </si>
  <si>
    <t>1048.6</t>
  </si>
  <si>
    <t>2097.3</t>
  </si>
  <si>
    <t>Viabilidade</t>
  </si>
  <si>
    <t>0,004</t>
  </si>
  <si>
    <t>0,008</t>
  </si>
  <si>
    <t>0,032</t>
  </si>
  <si>
    <t>262.1</t>
  </si>
  <si>
    <t>IC50</t>
  </si>
  <si>
    <t>0.002</t>
  </si>
  <si>
    <t>0.004</t>
  </si>
  <si>
    <t>0.032</t>
  </si>
  <si>
    <t>262,144</t>
  </si>
  <si>
    <t>GAPDH</t>
  </si>
  <si>
    <t>IL-1beta</t>
  </si>
  <si>
    <t>CT</t>
  </si>
  <si>
    <t>CT Média</t>
  </si>
  <si>
    <t>Tratamentos</t>
  </si>
  <si>
    <t>Média das Triplicatas</t>
  </si>
  <si>
    <t>Cт</t>
  </si>
  <si>
    <t>Cт Mean</t>
  </si>
  <si>
    <t>C- 1</t>
  </si>
  <si>
    <t>N1C1</t>
  </si>
  <si>
    <t>C- 2</t>
  </si>
  <si>
    <t>C- 3</t>
  </si>
  <si>
    <t>N1C1 1</t>
  </si>
  <si>
    <t>N1C1 2</t>
  </si>
  <si>
    <t>N1C1 3</t>
  </si>
  <si>
    <t>ΔCt = Ct(IL-1B) − Ct(GAPDH)</t>
  </si>
  <si>
    <t xml:space="preserve">ΔCt médio (C0)  </t>
  </si>
  <si>
    <t>ΔΔCt = ΔCt_amostra − média(ΔCt_C0)</t>
  </si>
  <si>
    <t>ΔΔCt</t>
  </si>
  <si>
    <t>Fold change=2^(−ΔΔCt)</t>
  </si>
  <si>
    <t>N1C2</t>
  </si>
  <si>
    <t>N1C3</t>
  </si>
  <si>
    <t>média</t>
  </si>
  <si>
    <t>R1 (11 a 20)</t>
  </si>
  <si>
    <t>b - actina</t>
  </si>
  <si>
    <t>diferença entre o tratamento e 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</si>
</sst>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3D67-7D40-4E93-98BD-883FD7CD8F36}">
  <dimension ref="A1:U67"/>
  <sheetViews>
    <sheetView topLeftCell="B13" workbookViewId="0">
      <selection activeCell="J28" sqref="J28:M30"/>
    </sheetView>
  </sheetViews>
  <sheetFormatPr defaultRowHeight="14.4" x14ac:dyDescent="0.3"/>
  <sheetData>
    <row r="1" spans="1:15" x14ac:dyDescent="0.3">
      <c r="A1" t="s">
        <v>0</v>
      </c>
      <c r="F1" t="s">
        <v>3</v>
      </c>
      <c r="K1" t="s">
        <v>4</v>
      </c>
    </row>
    <row r="2" spans="1:15" x14ac:dyDescent="0.3">
      <c r="A2" t="s">
        <v>1</v>
      </c>
      <c r="F2" t="s">
        <v>1</v>
      </c>
      <c r="K2" t="s">
        <v>1</v>
      </c>
    </row>
    <row r="3" spans="1:15" x14ac:dyDescent="0.3">
      <c r="A3">
        <v>1</v>
      </c>
      <c r="B3">
        <v>407</v>
      </c>
      <c r="C3">
        <v>27</v>
      </c>
      <c r="D3">
        <f>$C$7-C3</f>
        <v>211</v>
      </c>
      <c r="F3">
        <v>1</v>
      </c>
      <c r="G3">
        <v>420</v>
      </c>
      <c r="H3">
        <v>147</v>
      </c>
      <c r="I3">
        <f>$H$7-H3</f>
        <v>92</v>
      </c>
      <c r="J3">
        <f>I3/D3</f>
        <v>0.43601895734597157</v>
      </c>
      <c r="K3">
        <v>1</v>
      </c>
      <c r="L3">
        <v>245</v>
      </c>
      <c r="M3">
        <v>138</v>
      </c>
      <c r="N3">
        <f>$M$7-M3</f>
        <v>18</v>
      </c>
      <c r="O3">
        <f>N3/D3</f>
        <v>8.5308056872037921E-2</v>
      </c>
    </row>
    <row r="4" spans="1:15" x14ac:dyDescent="0.3">
      <c r="A4">
        <v>2</v>
      </c>
      <c r="B4">
        <v>407</v>
      </c>
      <c r="C4">
        <v>15</v>
      </c>
      <c r="D4">
        <f t="shared" ref="D4:D7" si="0">$C$7-C4</f>
        <v>223</v>
      </c>
      <c r="F4">
        <v>2</v>
      </c>
      <c r="G4">
        <v>420</v>
      </c>
      <c r="H4">
        <v>84</v>
      </c>
      <c r="I4">
        <f t="shared" ref="I4:I7" si="1">$H$7-H4</f>
        <v>155</v>
      </c>
      <c r="J4">
        <f t="shared" ref="J4:J6" si="2">I4/D4</f>
        <v>0.69506726457399104</v>
      </c>
      <c r="K4">
        <v>2</v>
      </c>
      <c r="L4">
        <v>245</v>
      </c>
      <c r="M4">
        <v>138</v>
      </c>
      <c r="N4">
        <f t="shared" ref="N4:N7" si="3">$M$7-M4</f>
        <v>18</v>
      </c>
      <c r="O4">
        <f>N4/D4</f>
        <v>8.0717488789237665E-2</v>
      </c>
    </row>
    <row r="5" spans="1:15" x14ac:dyDescent="0.3">
      <c r="A5">
        <v>3</v>
      </c>
      <c r="B5">
        <v>407</v>
      </c>
      <c r="C5">
        <v>25</v>
      </c>
      <c r="D5">
        <f t="shared" si="0"/>
        <v>213</v>
      </c>
      <c r="F5">
        <v>3</v>
      </c>
      <c r="G5">
        <v>420</v>
      </c>
      <c r="H5">
        <v>107</v>
      </c>
      <c r="I5">
        <f t="shared" si="1"/>
        <v>132</v>
      </c>
      <c r="J5">
        <f t="shared" si="2"/>
        <v>0.61971830985915488</v>
      </c>
      <c r="K5">
        <v>3</v>
      </c>
      <c r="L5">
        <v>245</v>
      </c>
      <c r="M5">
        <v>131</v>
      </c>
      <c r="N5">
        <f t="shared" si="3"/>
        <v>25</v>
      </c>
      <c r="O5">
        <f>N5/D5</f>
        <v>0.11737089201877934</v>
      </c>
    </row>
    <row r="6" spans="1:15" x14ac:dyDescent="0.3">
      <c r="A6">
        <v>4</v>
      </c>
      <c r="B6">
        <v>407</v>
      </c>
      <c r="C6">
        <v>56</v>
      </c>
      <c r="D6">
        <f t="shared" si="0"/>
        <v>182</v>
      </c>
      <c r="F6">
        <v>4</v>
      </c>
      <c r="G6">
        <v>420</v>
      </c>
      <c r="H6">
        <v>170</v>
      </c>
      <c r="I6">
        <f t="shared" si="1"/>
        <v>69</v>
      </c>
      <c r="J6">
        <f t="shared" si="2"/>
        <v>0.37912087912087911</v>
      </c>
      <c r="K6">
        <v>4</v>
      </c>
      <c r="L6">
        <v>245</v>
      </c>
      <c r="M6">
        <v>56</v>
      </c>
      <c r="N6">
        <f t="shared" si="3"/>
        <v>100</v>
      </c>
      <c r="O6">
        <f>N6/D6</f>
        <v>0.5494505494505495</v>
      </c>
    </row>
    <row r="7" spans="1:15" x14ac:dyDescent="0.3">
      <c r="A7">
        <v>5</v>
      </c>
      <c r="B7">
        <v>407</v>
      </c>
      <c r="C7">
        <v>238</v>
      </c>
      <c r="D7">
        <f t="shared" si="0"/>
        <v>0</v>
      </c>
      <c r="F7">
        <v>5</v>
      </c>
      <c r="G7">
        <v>420</v>
      </c>
      <c r="H7">
        <v>239</v>
      </c>
      <c r="I7">
        <f t="shared" si="1"/>
        <v>0</v>
      </c>
      <c r="K7">
        <v>5</v>
      </c>
      <c r="L7">
        <v>245</v>
      </c>
      <c r="M7">
        <v>156</v>
      </c>
      <c r="N7">
        <f t="shared" si="3"/>
        <v>0</v>
      </c>
    </row>
    <row r="9" spans="1:15" x14ac:dyDescent="0.3">
      <c r="A9" t="s">
        <v>2</v>
      </c>
      <c r="F9" t="s">
        <v>2</v>
      </c>
      <c r="K9" t="s">
        <v>2</v>
      </c>
    </row>
    <row r="10" spans="1:15" x14ac:dyDescent="0.3">
      <c r="A10">
        <v>1</v>
      </c>
      <c r="B10">
        <v>400</v>
      </c>
      <c r="C10">
        <v>95</v>
      </c>
      <c r="D10">
        <f>$C$14-C10</f>
        <v>158</v>
      </c>
      <c r="F10">
        <v>1</v>
      </c>
      <c r="G10">
        <v>400</v>
      </c>
      <c r="H10">
        <v>93</v>
      </c>
      <c r="I10">
        <f>$H$14-H10</f>
        <v>155</v>
      </c>
      <c r="J10">
        <f>I10/D10</f>
        <v>0.98101265822784811</v>
      </c>
      <c r="K10">
        <v>1</v>
      </c>
      <c r="L10">
        <v>432</v>
      </c>
      <c r="M10">
        <v>175</v>
      </c>
      <c r="N10">
        <f>$M$14-M10</f>
        <v>13</v>
      </c>
      <c r="O10">
        <f>N10/D10</f>
        <v>8.2278481012658222E-2</v>
      </c>
    </row>
    <row r="11" spans="1:15" x14ac:dyDescent="0.3">
      <c r="A11">
        <v>2</v>
      </c>
      <c r="B11">
        <v>400</v>
      </c>
      <c r="C11">
        <v>52</v>
      </c>
      <c r="D11">
        <f t="shared" ref="D11:D14" si="4">$C$14-C11</f>
        <v>201</v>
      </c>
      <c r="F11">
        <v>2</v>
      </c>
      <c r="G11">
        <v>400</v>
      </c>
      <c r="H11">
        <v>67</v>
      </c>
      <c r="I11">
        <f t="shared" ref="I11:I14" si="5">$H$14-H11</f>
        <v>181</v>
      </c>
      <c r="J11">
        <f t="shared" ref="J11:J13" si="6">I11/D11</f>
        <v>0.90049751243781095</v>
      </c>
      <c r="K11">
        <v>2</v>
      </c>
      <c r="L11">
        <v>432</v>
      </c>
      <c r="M11">
        <v>65</v>
      </c>
      <c r="N11">
        <f t="shared" ref="N11:N14" si="7">$M$14-M11</f>
        <v>123</v>
      </c>
      <c r="O11">
        <f>N11/D11</f>
        <v>0.61194029850746268</v>
      </c>
    </row>
    <row r="12" spans="1:15" x14ac:dyDescent="0.3">
      <c r="A12">
        <v>3</v>
      </c>
      <c r="B12">
        <v>400</v>
      </c>
      <c r="C12">
        <v>87</v>
      </c>
      <c r="D12">
        <f t="shared" si="4"/>
        <v>166</v>
      </c>
      <c r="F12">
        <v>3</v>
      </c>
      <c r="G12">
        <v>400</v>
      </c>
      <c r="H12">
        <v>123</v>
      </c>
      <c r="I12">
        <f t="shared" si="5"/>
        <v>125</v>
      </c>
      <c r="J12">
        <f t="shared" si="6"/>
        <v>0.75301204819277112</v>
      </c>
      <c r="K12">
        <v>3</v>
      </c>
      <c r="L12">
        <v>432</v>
      </c>
      <c r="M12">
        <v>82</v>
      </c>
      <c r="N12">
        <f t="shared" si="7"/>
        <v>106</v>
      </c>
      <c r="O12">
        <f>N12/D12</f>
        <v>0.63855421686746983</v>
      </c>
    </row>
    <row r="13" spans="1:15" x14ac:dyDescent="0.3">
      <c r="A13">
        <v>4</v>
      </c>
      <c r="B13">
        <v>400</v>
      </c>
      <c r="C13">
        <v>64</v>
      </c>
      <c r="D13">
        <f t="shared" si="4"/>
        <v>189</v>
      </c>
      <c r="F13">
        <v>4</v>
      </c>
      <c r="G13">
        <v>400</v>
      </c>
      <c r="H13">
        <v>124</v>
      </c>
      <c r="I13">
        <f t="shared" si="5"/>
        <v>124</v>
      </c>
      <c r="J13">
        <f t="shared" si="6"/>
        <v>0.65608465608465605</v>
      </c>
      <c r="K13">
        <v>4</v>
      </c>
      <c r="L13">
        <v>432</v>
      </c>
      <c r="M13">
        <v>111</v>
      </c>
      <c r="N13">
        <f>$M$14-M13</f>
        <v>77</v>
      </c>
      <c r="O13">
        <f>N13/D13</f>
        <v>0.40740740740740738</v>
      </c>
    </row>
    <row r="14" spans="1:15" x14ac:dyDescent="0.3">
      <c r="A14">
        <v>5</v>
      </c>
      <c r="B14">
        <v>400</v>
      </c>
      <c r="C14">
        <v>253</v>
      </c>
      <c r="D14">
        <f t="shared" si="4"/>
        <v>0</v>
      </c>
      <c r="F14">
        <v>5</v>
      </c>
      <c r="G14">
        <v>400</v>
      </c>
      <c r="H14">
        <v>248</v>
      </c>
      <c r="I14">
        <f t="shared" si="5"/>
        <v>0</v>
      </c>
      <c r="K14">
        <v>5</v>
      </c>
      <c r="L14">
        <v>432</v>
      </c>
      <c r="M14">
        <v>188</v>
      </c>
      <c r="N14">
        <f t="shared" si="7"/>
        <v>0</v>
      </c>
    </row>
    <row r="16" spans="1:15" x14ac:dyDescent="0.3">
      <c r="A16" t="s">
        <v>17</v>
      </c>
      <c r="F16" t="s">
        <v>17</v>
      </c>
      <c r="K16" t="s">
        <v>17</v>
      </c>
    </row>
    <row r="17" spans="1:15" x14ac:dyDescent="0.3">
      <c r="A17">
        <v>1</v>
      </c>
      <c r="B17">
        <v>360</v>
      </c>
      <c r="C17">
        <v>85</v>
      </c>
      <c r="D17">
        <f>$C$21-C17</f>
        <v>114</v>
      </c>
      <c r="F17">
        <v>1</v>
      </c>
      <c r="G17">
        <v>432</v>
      </c>
      <c r="H17">
        <v>74</v>
      </c>
      <c r="I17">
        <f>$H$21-H17</f>
        <v>177</v>
      </c>
      <c r="J17">
        <f>I17/D17</f>
        <v>1.5526315789473684</v>
      </c>
      <c r="K17">
        <v>1</v>
      </c>
      <c r="L17">
        <v>228</v>
      </c>
      <c r="M17">
        <v>53</v>
      </c>
      <c r="N17">
        <f>$M$21-M17</f>
        <v>67</v>
      </c>
      <c r="O17">
        <f>N17/D17</f>
        <v>0.58771929824561409</v>
      </c>
    </row>
    <row r="18" spans="1:15" x14ac:dyDescent="0.3">
      <c r="A18">
        <v>2</v>
      </c>
      <c r="B18">
        <v>360</v>
      </c>
      <c r="C18">
        <v>19</v>
      </c>
      <c r="D18">
        <f t="shared" ref="D18:D21" si="8">$C$21-C18</f>
        <v>180</v>
      </c>
      <c r="F18">
        <v>2</v>
      </c>
      <c r="G18">
        <v>432</v>
      </c>
      <c r="H18">
        <v>4</v>
      </c>
      <c r="I18">
        <f t="shared" ref="I18:I21" si="9">$H$21-H18</f>
        <v>247</v>
      </c>
      <c r="J18">
        <f t="shared" ref="J18:J20" si="10">I18/D18</f>
        <v>1.3722222222222222</v>
      </c>
      <c r="K18">
        <v>2</v>
      </c>
      <c r="L18">
        <v>228</v>
      </c>
      <c r="M18">
        <v>30</v>
      </c>
      <c r="N18">
        <f>$M$21-M18</f>
        <v>90</v>
      </c>
      <c r="O18">
        <f>N18/D18</f>
        <v>0.5</v>
      </c>
    </row>
    <row r="19" spans="1:15" x14ac:dyDescent="0.3">
      <c r="A19">
        <v>3</v>
      </c>
      <c r="B19">
        <v>360</v>
      </c>
      <c r="C19">
        <v>18</v>
      </c>
      <c r="D19">
        <f t="shared" si="8"/>
        <v>181</v>
      </c>
      <c r="F19">
        <v>3</v>
      </c>
      <c r="G19">
        <v>432</v>
      </c>
      <c r="H19">
        <v>22</v>
      </c>
      <c r="I19">
        <f t="shared" si="9"/>
        <v>229</v>
      </c>
      <c r="J19">
        <f t="shared" si="10"/>
        <v>1.2651933701657458</v>
      </c>
      <c r="K19">
        <v>3</v>
      </c>
      <c r="L19">
        <v>228</v>
      </c>
      <c r="M19">
        <v>27</v>
      </c>
      <c r="N19">
        <f>$M$21-M19</f>
        <v>93</v>
      </c>
      <c r="O19">
        <f>N19/D19</f>
        <v>0.51381215469613262</v>
      </c>
    </row>
    <row r="20" spans="1:15" x14ac:dyDescent="0.3">
      <c r="A20">
        <v>4</v>
      </c>
      <c r="B20">
        <v>360</v>
      </c>
      <c r="C20">
        <v>49</v>
      </c>
      <c r="D20">
        <f t="shared" si="8"/>
        <v>150</v>
      </c>
      <c r="F20">
        <v>4</v>
      </c>
      <c r="G20">
        <v>432</v>
      </c>
      <c r="H20">
        <v>123</v>
      </c>
      <c r="I20">
        <f t="shared" si="9"/>
        <v>128</v>
      </c>
      <c r="J20">
        <f t="shared" si="10"/>
        <v>0.85333333333333339</v>
      </c>
      <c r="K20">
        <v>4</v>
      </c>
      <c r="L20">
        <v>228</v>
      </c>
      <c r="M20">
        <v>73</v>
      </c>
      <c r="N20">
        <f>$M$21-M20</f>
        <v>47</v>
      </c>
      <c r="O20">
        <f>N20/D20</f>
        <v>0.31333333333333335</v>
      </c>
    </row>
    <row r="21" spans="1:15" x14ac:dyDescent="0.3">
      <c r="A21">
        <v>5</v>
      </c>
      <c r="B21">
        <v>360</v>
      </c>
      <c r="C21">
        <v>199</v>
      </c>
      <c r="D21">
        <f t="shared" si="8"/>
        <v>0</v>
      </c>
      <c r="F21">
        <v>5</v>
      </c>
      <c r="G21">
        <v>432</v>
      </c>
      <c r="H21">
        <v>251</v>
      </c>
      <c r="I21">
        <f t="shared" si="9"/>
        <v>0</v>
      </c>
      <c r="K21">
        <v>5</v>
      </c>
      <c r="L21">
        <v>228</v>
      </c>
      <c r="M21">
        <v>120</v>
      </c>
      <c r="N21">
        <f t="shared" ref="N21" si="11">$M$21-M21</f>
        <v>0</v>
      </c>
    </row>
    <row r="24" spans="1:15" x14ac:dyDescent="0.3">
      <c r="F24" t="s">
        <v>5</v>
      </c>
      <c r="G24">
        <f>AVERAGE(J17,J10,J3)</f>
        <v>0.98988773150706277</v>
      </c>
      <c r="K24" t="s">
        <v>5</v>
      </c>
      <c r="L24">
        <f>AVERAGE(O17,O10,O3)</f>
        <v>0.25176861204343676</v>
      </c>
    </row>
    <row r="26" spans="1:15" x14ac:dyDescent="0.3">
      <c r="E26" s="18" t="s">
        <v>3</v>
      </c>
      <c r="F26" s="18"/>
      <c r="G26" s="18"/>
      <c r="H26" s="18"/>
      <c r="J26" s="18" t="s">
        <v>10</v>
      </c>
      <c r="K26" s="18"/>
      <c r="L26" s="18"/>
      <c r="M26" s="18"/>
    </row>
    <row r="27" spans="1:15" x14ac:dyDescent="0.3">
      <c r="E27" t="s">
        <v>9</v>
      </c>
      <c r="F27" t="s">
        <v>6</v>
      </c>
      <c r="G27" t="s">
        <v>7</v>
      </c>
      <c r="H27" t="s">
        <v>8</v>
      </c>
      <c r="J27" t="s">
        <v>9</v>
      </c>
      <c r="K27" t="s">
        <v>6</v>
      </c>
      <c r="L27" t="s">
        <v>7</v>
      </c>
      <c r="M27" t="s">
        <v>8</v>
      </c>
    </row>
    <row r="28" spans="1:15" x14ac:dyDescent="0.3">
      <c r="E28">
        <f>J3/G24</f>
        <v>0.44047314000159482</v>
      </c>
      <c r="F28">
        <f>J4/G24</f>
        <v>0.70216777362800542</v>
      </c>
      <c r="G28">
        <f>J5/G24</f>
        <v>0.62604908630967637</v>
      </c>
      <c r="H28">
        <f>J6/G24</f>
        <v>0.3829938154134746</v>
      </c>
      <c r="J28">
        <f>O3/L24</f>
        <v>0.33883515573942957</v>
      </c>
      <c r="K28">
        <f>O4/L24</f>
        <v>0.32060187381623156</v>
      </c>
      <c r="L28">
        <f>O5/L24</f>
        <v>0.46618556247404563</v>
      </c>
      <c r="M28">
        <f>O6/L24</f>
        <v>2.182363182570807</v>
      </c>
    </row>
    <row r="29" spans="1:15" x14ac:dyDescent="0.3">
      <c r="E29">
        <f>J10/G24</f>
        <v>0.99103426277876716</v>
      </c>
      <c r="F29">
        <f>J11/G24</f>
        <v>0.90969660879304071</v>
      </c>
      <c r="G29">
        <f>J12/G24</f>
        <v>0.76070449630317338</v>
      </c>
      <c r="H29">
        <f>J13/G24</f>
        <v>0.66278693553035006</v>
      </c>
      <c r="J29">
        <f>O10/L24</f>
        <v>0.32680198037737523</v>
      </c>
      <c r="K29">
        <f>O11/L24</f>
        <v>2.430566278857218</v>
      </c>
      <c r="L29">
        <f>O12/L24</f>
        <v>2.5362741275997593</v>
      </c>
      <c r="M29">
        <f>O13/L24</f>
        <v>1.6181818857432428</v>
      </c>
    </row>
    <row r="30" spans="1:15" x14ac:dyDescent="0.3">
      <c r="E30">
        <f>J17/G24</f>
        <v>1.5684925972196377</v>
      </c>
      <c r="F30">
        <f>J18/G24</f>
        <v>1.3862402558854539</v>
      </c>
      <c r="G30">
        <f>J19/G24</f>
        <v>1.2781180429820478</v>
      </c>
      <c r="H30">
        <f>J20/G24</f>
        <v>0.86205062066399085</v>
      </c>
      <c r="J30">
        <f>O17/L24</f>
        <v>2.3343628638831948</v>
      </c>
      <c r="K30">
        <f>O18/L24</f>
        <v>1.9859504961394343</v>
      </c>
      <c r="L30">
        <f>O19/L24</f>
        <v>2.040811007082513</v>
      </c>
      <c r="M30">
        <f>O20/L24</f>
        <v>1.2445289775807122</v>
      </c>
    </row>
    <row r="31" spans="1:15" x14ac:dyDescent="0.3">
      <c r="E31">
        <f>AVERAGE(E28:E30)</f>
        <v>1</v>
      </c>
      <c r="F31">
        <f>AVERAGE(F28:F30)</f>
        <v>0.99936821276883325</v>
      </c>
      <c r="G31">
        <f>AVERAGE(G28:G30)</f>
        <v>0.88829054186496581</v>
      </c>
      <c r="H31">
        <f>AVERAGE(H28:H30)</f>
        <v>0.63594379053593852</v>
      </c>
      <c r="J31">
        <f>AVERAGE(J28:J30)</f>
        <v>0.99999999999999989</v>
      </c>
      <c r="K31">
        <f>AVERAGE(K28:K30)</f>
        <v>1.5790395496042946</v>
      </c>
      <c r="L31">
        <f>AVERAGE(L28:L30)</f>
        <v>1.6810902323854393</v>
      </c>
      <c r="M31">
        <f>AVERAGE(M28:M30)</f>
        <v>1.6816913486315874</v>
      </c>
    </row>
    <row r="33" spans="1:2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5" spans="1:21" x14ac:dyDescent="0.3">
      <c r="A35" s="18" t="s">
        <v>16</v>
      </c>
      <c r="B35" s="18"/>
      <c r="C35" s="18"/>
    </row>
    <row r="37" spans="1:21" x14ac:dyDescent="0.3">
      <c r="A37" t="s">
        <v>0</v>
      </c>
      <c r="F37" t="s">
        <v>3</v>
      </c>
      <c r="K37" t="s">
        <v>4</v>
      </c>
    </row>
    <row r="38" spans="1:21" x14ac:dyDescent="0.3">
      <c r="A38" t="s">
        <v>1</v>
      </c>
      <c r="F38" t="s">
        <v>1</v>
      </c>
      <c r="K38" t="s">
        <v>1</v>
      </c>
    </row>
    <row r="39" spans="1:21" x14ac:dyDescent="0.3">
      <c r="A39">
        <v>1</v>
      </c>
      <c r="B39">
        <v>705</v>
      </c>
      <c r="C39">
        <v>21</v>
      </c>
      <c r="D39">
        <f>$C$43-C39</f>
        <v>223</v>
      </c>
      <c r="F39">
        <v>1</v>
      </c>
      <c r="G39">
        <v>560</v>
      </c>
      <c r="H39">
        <v>53</v>
      </c>
      <c r="I39">
        <f>$H$43-H39</f>
        <v>188</v>
      </c>
      <c r="J39">
        <f>I39/D39</f>
        <v>0.84304932735426008</v>
      </c>
      <c r="K39">
        <v>1</v>
      </c>
      <c r="L39">
        <v>420</v>
      </c>
      <c r="M39">
        <v>17</v>
      </c>
      <c r="N39">
        <f>$M$43-M39</f>
        <v>207</v>
      </c>
      <c r="O39">
        <f>N39/D39</f>
        <v>0.9282511210762332</v>
      </c>
    </row>
    <row r="40" spans="1:21" x14ac:dyDescent="0.3">
      <c r="A40">
        <v>2</v>
      </c>
      <c r="B40">
        <v>705</v>
      </c>
      <c r="C40">
        <v>35</v>
      </c>
      <c r="D40">
        <f t="shared" ref="D40:D43" si="12">$C$43-C40</f>
        <v>209</v>
      </c>
      <c r="F40">
        <v>2</v>
      </c>
      <c r="G40">
        <v>560</v>
      </c>
      <c r="H40">
        <v>102</v>
      </c>
      <c r="I40">
        <f t="shared" ref="I40:I43" si="13">$H$43-H40</f>
        <v>139</v>
      </c>
      <c r="J40">
        <f t="shared" ref="J40:J42" si="14">I40/D40</f>
        <v>0.66507177033492826</v>
      </c>
      <c r="K40">
        <v>2</v>
      </c>
      <c r="L40">
        <v>420</v>
      </c>
      <c r="M40">
        <v>156</v>
      </c>
      <c r="N40">
        <f t="shared" ref="N40:N43" si="15">$M$43-M40</f>
        <v>68</v>
      </c>
      <c r="O40">
        <f t="shared" ref="O40:O42" si="16">N40/D40</f>
        <v>0.32535885167464113</v>
      </c>
    </row>
    <row r="41" spans="1:21" x14ac:dyDescent="0.3">
      <c r="A41">
        <v>3</v>
      </c>
      <c r="B41">
        <v>705</v>
      </c>
      <c r="C41">
        <v>32</v>
      </c>
      <c r="D41">
        <f t="shared" si="12"/>
        <v>212</v>
      </c>
      <c r="F41">
        <v>3</v>
      </c>
      <c r="G41">
        <v>560</v>
      </c>
      <c r="H41">
        <v>102</v>
      </c>
      <c r="I41">
        <f t="shared" si="13"/>
        <v>139</v>
      </c>
      <c r="J41">
        <f t="shared" si="14"/>
        <v>0.65566037735849059</v>
      </c>
      <c r="K41">
        <v>3</v>
      </c>
      <c r="L41">
        <v>420</v>
      </c>
      <c r="M41">
        <v>133</v>
      </c>
      <c r="N41">
        <f t="shared" si="15"/>
        <v>91</v>
      </c>
      <c r="O41">
        <f t="shared" si="16"/>
        <v>0.42924528301886794</v>
      </c>
    </row>
    <row r="42" spans="1:21" x14ac:dyDescent="0.3">
      <c r="A42">
        <v>4</v>
      </c>
      <c r="B42">
        <v>705</v>
      </c>
      <c r="C42">
        <v>92</v>
      </c>
      <c r="D42">
        <f t="shared" si="12"/>
        <v>152</v>
      </c>
      <c r="F42">
        <v>4</v>
      </c>
      <c r="G42">
        <v>560</v>
      </c>
      <c r="H42">
        <v>205</v>
      </c>
      <c r="I42">
        <f t="shared" si="13"/>
        <v>36</v>
      </c>
      <c r="J42">
        <f t="shared" si="14"/>
        <v>0.23684210526315788</v>
      </c>
      <c r="K42">
        <v>4</v>
      </c>
      <c r="L42">
        <v>420</v>
      </c>
      <c r="M42">
        <v>197</v>
      </c>
      <c r="N42">
        <f t="shared" si="15"/>
        <v>27</v>
      </c>
      <c r="O42">
        <f t="shared" si="16"/>
        <v>0.17763157894736842</v>
      </c>
    </row>
    <row r="43" spans="1:21" x14ac:dyDescent="0.3">
      <c r="A43">
        <v>5</v>
      </c>
      <c r="B43">
        <v>705</v>
      </c>
      <c r="C43">
        <v>244</v>
      </c>
      <c r="D43">
        <f t="shared" si="12"/>
        <v>0</v>
      </c>
      <c r="F43">
        <v>5</v>
      </c>
      <c r="G43">
        <v>560</v>
      </c>
      <c r="H43">
        <v>241</v>
      </c>
      <c r="I43">
        <f t="shared" si="13"/>
        <v>0</v>
      </c>
      <c r="K43">
        <v>5</v>
      </c>
      <c r="L43">
        <v>420</v>
      </c>
      <c r="M43">
        <v>224</v>
      </c>
      <c r="N43">
        <f t="shared" si="15"/>
        <v>0</v>
      </c>
    </row>
    <row r="45" spans="1:21" x14ac:dyDescent="0.3">
      <c r="A45" t="s">
        <v>2</v>
      </c>
    </row>
    <row r="46" spans="1:21" x14ac:dyDescent="0.3">
      <c r="A46">
        <v>1</v>
      </c>
      <c r="B46">
        <v>533</v>
      </c>
      <c r="C46">
        <v>41</v>
      </c>
      <c r="D46">
        <f>$C$50-C46</f>
        <v>201</v>
      </c>
      <c r="F46">
        <v>1</v>
      </c>
      <c r="G46">
        <v>608</v>
      </c>
      <c r="H46">
        <v>56</v>
      </c>
      <c r="I46">
        <f>$H$50-H46</f>
        <v>180</v>
      </c>
      <c r="J46">
        <f>I46/D46</f>
        <v>0.89552238805970152</v>
      </c>
      <c r="K46">
        <v>1</v>
      </c>
      <c r="L46">
        <v>222</v>
      </c>
      <c r="M46">
        <v>61</v>
      </c>
      <c r="N46">
        <f t="shared" ref="N46:N49" si="17">$M$50-M46</f>
        <v>167</v>
      </c>
      <c r="O46">
        <f>N46/D46</f>
        <v>0.8308457711442786</v>
      </c>
    </row>
    <row r="47" spans="1:21" x14ac:dyDescent="0.3">
      <c r="A47">
        <v>2</v>
      </c>
      <c r="B47">
        <v>533</v>
      </c>
      <c r="C47">
        <v>24</v>
      </c>
      <c r="D47">
        <f t="shared" ref="D47:D50" si="18">$C$50-C47</f>
        <v>218</v>
      </c>
      <c r="F47">
        <v>2</v>
      </c>
      <c r="G47">
        <v>608</v>
      </c>
      <c r="H47">
        <v>55</v>
      </c>
      <c r="I47">
        <f t="shared" ref="I47:I50" si="19">$H$50-H47</f>
        <v>181</v>
      </c>
      <c r="J47">
        <f t="shared" ref="J47:J49" si="20">I47/D47</f>
        <v>0.83027522935779818</v>
      </c>
      <c r="K47">
        <v>2</v>
      </c>
      <c r="L47">
        <v>222</v>
      </c>
      <c r="M47">
        <v>30</v>
      </c>
      <c r="N47">
        <f t="shared" si="17"/>
        <v>198</v>
      </c>
      <c r="O47">
        <f t="shared" ref="O47:O49" si="21">N47/D47</f>
        <v>0.90825688073394495</v>
      </c>
    </row>
    <row r="48" spans="1:21" x14ac:dyDescent="0.3">
      <c r="A48">
        <v>3</v>
      </c>
      <c r="B48">
        <v>533</v>
      </c>
      <c r="C48">
        <v>9</v>
      </c>
      <c r="D48">
        <f t="shared" si="18"/>
        <v>233</v>
      </c>
      <c r="F48">
        <v>3</v>
      </c>
      <c r="G48">
        <v>608</v>
      </c>
      <c r="H48">
        <v>31</v>
      </c>
      <c r="I48">
        <f t="shared" si="19"/>
        <v>205</v>
      </c>
      <c r="J48">
        <f t="shared" si="20"/>
        <v>0.87982832618025753</v>
      </c>
      <c r="K48">
        <v>3</v>
      </c>
      <c r="L48">
        <v>222</v>
      </c>
      <c r="M48">
        <v>18</v>
      </c>
      <c r="N48">
        <f t="shared" si="17"/>
        <v>210</v>
      </c>
      <c r="O48">
        <f t="shared" si="21"/>
        <v>0.90128755364806867</v>
      </c>
    </row>
    <row r="49" spans="1:15" x14ac:dyDescent="0.3">
      <c r="A49">
        <v>4</v>
      </c>
      <c r="B49">
        <v>533</v>
      </c>
      <c r="C49">
        <v>11</v>
      </c>
      <c r="D49">
        <f t="shared" si="18"/>
        <v>231</v>
      </c>
      <c r="F49">
        <v>4</v>
      </c>
      <c r="G49">
        <v>608</v>
      </c>
      <c r="H49">
        <v>201</v>
      </c>
      <c r="I49">
        <f t="shared" si="19"/>
        <v>35</v>
      </c>
      <c r="J49">
        <f t="shared" si="20"/>
        <v>0.15151515151515152</v>
      </c>
      <c r="K49">
        <v>4</v>
      </c>
      <c r="L49">
        <v>222</v>
      </c>
      <c r="M49">
        <v>139</v>
      </c>
      <c r="N49">
        <f t="shared" si="17"/>
        <v>89</v>
      </c>
      <c r="O49">
        <f t="shared" si="21"/>
        <v>0.38528138528138528</v>
      </c>
    </row>
    <row r="50" spans="1:15" x14ac:dyDescent="0.3">
      <c r="A50">
        <v>5</v>
      </c>
      <c r="B50">
        <v>533</v>
      </c>
      <c r="C50">
        <v>242</v>
      </c>
      <c r="D50">
        <f t="shared" si="18"/>
        <v>0</v>
      </c>
      <c r="F50">
        <v>5</v>
      </c>
      <c r="G50">
        <v>608</v>
      </c>
      <c r="H50">
        <v>236</v>
      </c>
      <c r="I50">
        <f t="shared" si="19"/>
        <v>0</v>
      </c>
      <c r="K50">
        <v>5</v>
      </c>
      <c r="L50">
        <v>222</v>
      </c>
      <c r="M50">
        <v>228</v>
      </c>
      <c r="N50">
        <f>$M$50-M50</f>
        <v>0</v>
      </c>
    </row>
    <row r="52" spans="1:15" x14ac:dyDescent="0.3">
      <c r="A52" t="s">
        <v>17</v>
      </c>
    </row>
    <row r="53" spans="1:15" x14ac:dyDescent="0.3">
      <c r="A53">
        <v>1</v>
      </c>
      <c r="B53">
        <v>532</v>
      </c>
      <c r="C53">
        <v>76</v>
      </c>
      <c r="D53">
        <f>$C$57-C53</f>
        <v>169</v>
      </c>
      <c r="F53">
        <v>1</v>
      </c>
      <c r="G53">
        <v>481</v>
      </c>
      <c r="H53">
        <v>154</v>
      </c>
      <c r="I53">
        <f>$H$57-H53</f>
        <v>91</v>
      </c>
      <c r="J53">
        <f>I53/D53</f>
        <v>0.53846153846153844</v>
      </c>
      <c r="K53">
        <v>1</v>
      </c>
      <c r="L53">
        <v>252</v>
      </c>
      <c r="M53">
        <v>26</v>
      </c>
      <c r="N53">
        <f>$M$57-M53</f>
        <v>204</v>
      </c>
      <c r="O53">
        <f>N53/D53</f>
        <v>1.2071005917159763</v>
      </c>
    </row>
    <row r="54" spans="1:15" x14ac:dyDescent="0.3">
      <c r="A54">
        <v>2</v>
      </c>
      <c r="B54">
        <v>532</v>
      </c>
      <c r="C54">
        <v>45</v>
      </c>
      <c r="D54">
        <f t="shared" ref="D54:D57" si="22">$C$57-C54</f>
        <v>200</v>
      </c>
      <c r="F54">
        <v>2</v>
      </c>
      <c r="G54">
        <v>481</v>
      </c>
      <c r="H54">
        <v>31</v>
      </c>
      <c r="I54">
        <f t="shared" ref="I54:I57" si="23">$H$57-H54</f>
        <v>214</v>
      </c>
      <c r="J54">
        <f t="shared" ref="J54:J56" si="24">I54/D54</f>
        <v>1.07</v>
      </c>
      <c r="K54">
        <v>2</v>
      </c>
      <c r="L54">
        <v>252</v>
      </c>
      <c r="M54">
        <v>44</v>
      </c>
      <c r="N54">
        <f t="shared" ref="N54:N57" si="25">$M$57-M54</f>
        <v>186</v>
      </c>
      <c r="O54">
        <f t="shared" ref="O54:O56" si="26">N54/D54</f>
        <v>0.93</v>
      </c>
    </row>
    <row r="55" spans="1:15" x14ac:dyDescent="0.3">
      <c r="A55">
        <v>3</v>
      </c>
      <c r="B55">
        <v>532</v>
      </c>
      <c r="C55">
        <v>26</v>
      </c>
      <c r="D55">
        <f t="shared" si="22"/>
        <v>219</v>
      </c>
      <c r="F55">
        <v>3</v>
      </c>
      <c r="G55">
        <v>481</v>
      </c>
      <c r="H55">
        <v>3</v>
      </c>
      <c r="I55">
        <f t="shared" si="23"/>
        <v>242</v>
      </c>
      <c r="J55">
        <f t="shared" si="24"/>
        <v>1.1050228310502284</v>
      </c>
      <c r="K55">
        <v>3</v>
      </c>
      <c r="L55">
        <v>252</v>
      </c>
      <c r="M55">
        <v>79</v>
      </c>
      <c r="N55">
        <f t="shared" si="25"/>
        <v>151</v>
      </c>
      <c r="O55">
        <f t="shared" si="26"/>
        <v>0.68949771689497719</v>
      </c>
    </row>
    <row r="56" spans="1:15" x14ac:dyDescent="0.3">
      <c r="A56">
        <v>4</v>
      </c>
      <c r="B56">
        <v>532</v>
      </c>
      <c r="C56">
        <v>29</v>
      </c>
      <c r="D56">
        <f t="shared" si="22"/>
        <v>216</v>
      </c>
      <c r="F56">
        <v>4</v>
      </c>
      <c r="G56">
        <v>481</v>
      </c>
      <c r="H56">
        <v>162</v>
      </c>
      <c r="I56">
        <f t="shared" si="23"/>
        <v>83</v>
      </c>
      <c r="J56">
        <f t="shared" si="24"/>
        <v>0.38425925925925924</v>
      </c>
      <c r="K56">
        <v>4</v>
      </c>
      <c r="L56">
        <v>252</v>
      </c>
      <c r="M56">
        <v>147</v>
      </c>
      <c r="N56">
        <f t="shared" si="25"/>
        <v>83</v>
      </c>
      <c r="O56">
        <f t="shared" si="26"/>
        <v>0.38425925925925924</v>
      </c>
    </row>
    <row r="57" spans="1:15" x14ac:dyDescent="0.3">
      <c r="A57">
        <v>5</v>
      </c>
      <c r="B57">
        <v>532</v>
      </c>
      <c r="C57">
        <v>245</v>
      </c>
      <c r="D57">
        <f t="shared" si="22"/>
        <v>0</v>
      </c>
      <c r="F57">
        <v>5</v>
      </c>
      <c r="G57">
        <v>481</v>
      </c>
      <c r="H57">
        <v>245</v>
      </c>
      <c r="I57">
        <f t="shared" si="23"/>
        <v>0</v>
      </c>
      <c r="K57">
        <v>5</v>
      </c>
      <c r="L57">
        <v>252</v>
      </c>
      <c r="M57">
        <v>230</v>
      </c>
      <c r="N57">
        <f t="shared" si="25"/>
        <v>0</v>
      </c>
    </row>
    <row r="60" spans="1:15" x14ac:dyDescent="0.3">
      <c r="F60" t="s">
        <v>5</v>
      </c>
      <c r="G60">
        <f>AVERAGE(J53,J46,J39)</f>
        <v>0.75901108462516664</v>
      </c>
      <c r="K60" t="s">
        <v>5</v>
      </c>
      <c r="L60">
        <f>AVERAGE(O53,O46,O39)</f>
        <v>0.98873249464549617</v>
      </c>
    </row>
    <row r="62" spans="1:15" x14ac:dyDescent="0.3">
      <c r="E62" s="18" t="s">
        <v>3</v>
      </c>
      <c r="F62" s="18"/>
      <c r="G62" s="18"/>
      <c r="H62" s="18"/>
      <c r="J62" s="18" t="s">
        <v>10</v>
      </c>
      <c r="K62" s="18"/>
      <c r="L62" s="18"/>
      <c r="M62" s="18"/>
    </row>
    <row r="63" spans="1:15" x14ac:dyDescent="0.3">
      <c r="E63" t="s">
        <v>9</v>
      </c>
      <c r="F63" t="s">
        <v>6</v>
      </c>
      <c r="G63" t="s">
        <v>7</v>
      </c>
      <c r="H63" t="s">
        <v>8</v>
      </c>
      <c r="J63" t="s">
        <v>9</v>
      </c>
      <c r="K63" t="s">
        <v>6</v>
      </c>
      <c r="L63" t="s">
        <v>7</v>
      </c>
      <c r="M63" t="s">
        <v>8</v>
      </c>
    </row>
    <row r="64" spans="1:15" x14ac:dyDescent="0.3">
      <c r="E64">
        <f>J39/G60</f>
        <v>1.1107207054434458</v>
      </c>
      <c r="F64">
        <f>J40/G60</f>
        <v>0.87623459499721301</v>
      </c>
      <c r="G64">
        <f>J41/G60</f>
        <v>0.86383504884159201</v>
      </c>
      <c r="H64">
        <f>J42/G60</f>
        <v>0.31204037735512258</v>
      </c>
      <c r="J64">
        <f>O39/L60</f>
        <v>0.93882938621234635</v>
      </c>
      <c r="K64">
        <f>O40/L60</f>
        <v>0.32906661148149735</v>
      </c>
      <c r="L64">
        <f>O41/L60</f>
        <v>0.43413692312476404</v>
      </c>
      <c r="M64">
        <f>O42/L60</f>
        <v>0.17965585222427335</v>
      </c>
    </row>
    <row r="65" spans="5:13" x14ac:dyDescent="0.3">
      <c r="E65">
        <f>J46/G60</f>
        <v>1.1798541631337969</v>
      </c>
      <c r="F65">
        <f>J47/G60</f>
        <v>1.093890782593544</v>
      </c>
      <c r="G65">
        <f>J48/G60</f>
        <v>1.1591771767269456</v>
      </c>
      <c r="H65">
        <f>J49/G60</f>
        <v>0.19962179022718282</v>
      </c>
      <c r="J65">
        <f>O46/L60</f>
        <v>0.84031401379416903</v>
      </c>
      <c r="K65">
        <f>O47/L60</f>
        <v>0.91860729333022961</v>
      </c>
      <c r="L65">
        <f>O48/L60</f>
        <v>0.91155854442835893</v>
      </c>
      <c r="M65">
        <f>O49/L60</f>
        <v>0.38967201681737534</v>
      </c>
    </row>
    <row r="66" spans="5:13" x14ac:dyDescent="0.3">
      <c r="E66">
        <f>J53/G60</f>
        <v>0.70942513142275732</v>
      </c>
      <c r="F66">
        <f>J54/G60</f>
        <v>1.4097290825843651</v>
      </c>
      <c r="G66">
        <f>J55/G60</f>
        <v>1.455871796122632</v>
      </c>
      <c r="H66">
        <f>J56/G60</f>
        <v>0.50626304021504975</v>
      </c>
      <c r="J66">
        <f>O53/L60</f>
        <v>1.2208565999934842</v>
      </c>
      <c r="K66">
        <f>O54/L60</f>
        <v>0.94059819520086241</v>
      </c>
      <c r="L66">
        <f>O55/L60</f>
        <v>0.69735517000702218</v>
      </c>
      <c r="M66">
        <f>O56/L60</f>
        <v>0.38863824274030057</v>
      </c>
    </row>
    <row r="67" spans="5:13" x14ac:dyDescent="0.3">
      <c r="E67">
        <f>AVERAGE(E64:E66)</f>
        <v>1</v>
      </c>
      <c r="F67">
        <f>AVERAGE(F64:F66)</f>
        <v>1.1266181533917072</v>
      </c>
      <c r="G67">
        <f>AVERAGE(G64:G66)</f>
        <v>1.1596280072303899</v>
      </c>
      <c r="H67">
        <f>AVERAGE(H64:H66)</f>
        <v>0.33930840259911843</v>
      </c>
      <c r="J67">
        <f>AVERAGE(J64:J66)</f>
        <v>0.99999999999999989</v>
      </c>
      <c r="K67">
        <f>AVERAGE(K64:K66)</f>
        <v>0.72942403333752981</v>
      </c>
      <c r="L67">
        <f>AVERAGE(L64:L66)</f>
        <v>0.68101687918671505</v>
      </c>
      <c r="M67">
        <f>AVERAGE(M64:M66)</f>
        <v>0.31932203726064973</v>
      </c>
    </row>
  </sheetData>
  <mergeCells count="5">
    <mergeCell ref="E26:H26"/>
    <mergeCell ref="J26:M26"/>
    <mergeCell ref="A35:C35"/>
    <mergeCell ref="E62:H62"/>
    <mergeCell ref="J62:M6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BF4D-BAED-45DB-AC16-B035FE52107A}">
  <dimension ref="A3:AC48"/>
  <sheetViews>
    <sheetView tabSelected="1" topLeftCell="G28" workbookViewId="0">
      <selection activeCell="AA48" sqref="AA48"/>
    </sheetView>
  </sheetViews>
  <sheetFormatPr defaultRowHeight="14.4" x14ac:dyDescent="0.3"/>
  <cols>
    <col min="26" max="27" width="6.33203125" customWidth="1"/>
  </cols>
  <sheetData>
    <row r="3" spans="1:16" x14ac:dyDescent="0.3">
      <c r="B3" t="s">
        <v>12</v>
      </c>
      <c r="G3" t="s">
        <v>11</v>
      </c>
      <c r="O3" s="18" t="s">
        <v>14</v>
      </c>
      <c r="P3" s="18"/>
    </row>
    <row r="4" spans="1:16" x14ac:dyDescent="0.3">
      <c r="A4" t="s">
        <v>13</v>
      </c>
      <c r="B4">
        <v>30.315114974975586</v>
      </c>
      <c r="D4" t="s">
        <v>13</v>
      </c>
      <c r="E4">
        <f>AVERAGE(B4,B5,B6)</f>
        <v>29.037366231282551</v>
      </c>
      <c r="G4">
        <v>20.3939208984375</v>
      </c>
      <c r="I4" t="s">
        <v>13</v>
      </c>
      <c r="J4">
        <f>AVERAGE(G4,G5,G6)</f>
        <v>17.756937026977539</v>
      </c>
      <c r="L4">
        <f>2^-((B4-G4)-($E$4-$J$4))</f>
        <v>2.565491290475284</v>
      </c>
      <c r="O4">
        <v>2.565491290475284</v>
      </c>
      <c r="P4">
        <v>1.1052511317900089</v>
      </c>
    </row>
    <row r="5" spans="1:16" x14ac:dyDescent="0.3">
      <c r="A5" t="s">
        <v>13</v>
      </c>
      <c r="B5">
        <v>27.083656311035156</v>
      </c>
      <c r="D5" t="s">
        <v>6</v>
      </c>
      <c r="E5">
        <f>AVERAGE(B8,B9,B7)</f>
        <v>28.397655487060547</v>
      </c>
      <c r="G5">
        <v>15.566339492797852</v>
      </c>
      <c r="I5" t="s">
        <v>6</v>
      </c>
      <c r="J5">
        <f>AVERAGE(G8,G9,G7)</f>
        <v>16.907101949055988</v>
      </c>
      <c r="L5">
        <f t="shared" ref="L5" si="0">2^-((B5-G5)-($E$4-$J$4))</f>
        <v>0.848574003119001</v>
      </c>
      <c r="O5">
        <v>0.848574003119001</v>
      </c>
      <c r="P5">
        <v>0.96201367562522933</v>
      </c>
    </row>
    <row r="6" spans="1:16" x14ac:dyDescent="0.3">
      <c r="A6" t="s">
        <v>13</v>
      </c>
      <c r="B6">
        <v>29.713327407836914</v>
      </c>
      <c r="G6">
        <v>17.310550689697266</v>
      </c>
      <c r="L6">
        <f>2^-((B6-G6)-($E$4-$J$4))</f>
        <v>0.45934578201121967</v>
      </c>
      <c r="O6">
        <v>0.45934578201121967</v>
      </c>
      <c r="P6">
        <v>0.60757039523040723</v>
      </c>
    </row>
    <row r="7" spans="1:16" x14ac:dyDescent="0.3">
      <c r="A7" t="s">
        <v>6</v>
      </c>
      <c r="B7">
        <v>27.855098724365234</v>
      </c>
      <c r="G7">
        <v>16.719043731689453</v>
      </c>
      <c r="L7">
        <f>2^-((B7-G7)-($E$4-$J$4))</f>
        <v>1.1052511317900089</v>
      </c>
      <c r="O7">
        <v>1.8911950597836269</v>
      </c>
      <c r="P7">
        <v>0.71027457357437795</v>
      </c>
    </row>
    <row r="8" spans="1:16" x14ac:dyDescent="0.3">
      <c r="A8" t="s">
        <v>6</v>
      </c>
      <c r="B8">
        <v>28.582286834716797</v>
      </c>
      <c r="G8">
        <v>17.245986938476563</v>
      </c>
      <c r="L8">
        <f>2^-((B8-G8)-($E$4-$J$4))</f>
        <v>0.96201367562522933</v>
      </c>
      <c r="O8">
        <v>0.81671726464367622</v>
      </c>
      <c r="P8">
        <v>1.2228997083099433</v>
      </c>
    </row>
    <row r="9" spans="1:16" x14ac:dyDescent="0.3">
      <c r="A9" t="s">
        <v>6</v>
      </c>
      <c r="B9">
        <v>28.755580902099609</v>
      </c>
      <c r="G9">
        <v>16.756275177001953</v>
      </c>
      <c r="L9">
        <f>2^-((B9-G9)-($E$4-$J$4))</f>
        <v>0.60757039523040723</v>
      </c>
      <c r="O9">
        <v>0.64742868744780879</v>
      </c>
      <c r="P9">
        <v>0.75066332657457746</v>
      </c>
    </row>
    <row r="10" spans="1:16" x14ac:dyDescent="0.3">
      <c r="O10">
        <f>AVERAGE(O4:O9)</f>
        <v>1.2047920145801028</v>
      </c>
      <c r="P10">
        <f>AVERAGE(P4:P9)</f>
        <v>0.89311213518409083</v>
      </c>
    </row>
    <row r="11" spans="1:16" x14ac:dyDescent="0.3">
      <c r="B11">
        <v>26.585655212402344</v>
      </c>
      <c r="E11">
        <f>AVERAGE(B11,B12,B13)</f>
        <v>24.68178431193034</v>
      </c>
      <c r="G11" s="1">
        <v>20.182621002197266</v>
      </c>
      <c r="J11">
        <f>AVERAGE(G11,G12,G13)</f>
        <v>17.359451929728191</v>
      </c>
      <c r="L11">
        <f>2^-((B11-G11)-($E$11-$J$11))</f>
        <v>1.8911950597836269</v>
      </c>
    </row>
    <row r="12" spans="1:16" x14ac:dyDescent="0.3">
      <c r="B12">
        <v>23.052146911621094</v>
      </c>
      <c r="E12">
        <f>AVERAGE(B15,B16,B14)</f>
        <v>23.744835535685223</v>
      </c>
      <c r="G12" s="1">
        <v>15.437723159790039</v>
      </c>
      <c r="J12">
        <f>AVERAGE(G15,G16,G14)</f>
        <v>16.21683406829834</v>
      </c>
      <c r="L12">
        <f>2^-((B12-G12)-($E$11-$J$11))</f>
        <v>0.81671726464367622</v>
      </c>
    </row>
    <row r="13" spans="1:16" x14ac:dyDescent="0.3">
      <c r="B13">
        <v>24.407550811767578</v>
      </c>
      <c r="G13" s="1">
        <v>16.458011627197266</v>
      </c>
      <c r="L13">
        <f>2^-((B13-G13)-($E$11-$J$11))</f>
        <v>0.64742868744780879</v>
      </c>
    </row>
    <row r="14" spans="1:16" x14ac:dyDescent="0.3">
      <c r="B14">
        <v>23.585010528564453</v>
      </c>
      <c r="G14" s="1">
        <v>15.769126892089844</v>
      </c>
      <c r="L14">
        <f>2^-((B14-G14)-($E$11-$J$11))</f>
        <v>0.71027457357437795</v>
      </c>
    </row>
    <row r="15" spans="1:16" x14ac:dyDescent="0.3">
      <c r="B15">
        <v>23.981752395629883</v>
      </c>
      <c r="G15" s="1">
        <v>16.949726104736328</v>
      </c>
      <c r="L15">
        <f t="shared" ref="L15:L16" si="1">2^-((B15-G15)-($E$11-$J$11))</f>
        <v>1.2228997083099433</v>
      </c>
    </row>
    <row r="16" spans="1:16" x14ac:dyDescent="0.3">
      <c r="B16">
        <v>23.667743682861328</v>
      </c>
      <c r="G16" s="1">
        <v>15.931649208068848</v>
      </c>
      <c r="L16">
        <f t="shared" si="1"/>
        <v>0.75066332657457746</v>
      </c>
    </row>
    <row r="20" spans="1:28" x14ac:dyDescent="0.3">
      <c r="F20" s="1"/>
    </row>
    <row r="21" spans="1:28" x14ac:dyDescent="0.3">
      <c r="F21" s="1"/>
    </row>
    <row r="22" spans="1:28" x14ac:dyDescent="0.3">
      <c r="F22" s="1"/>
    </row>
    <row r="23" spans="1:28" x14ac:dyDescent="0.3">
      <c r="F23" s="14"/>
    </row>
    <row r="24" spans="1:28" x14ac:dyDescent="0.3">
      <c r="F24" s="14"/>
    </row>
    <row r="25" spans="1:28" x14ac:dyDescent="0.3">
      <c r="F25" s="14"/>
    </row>
    <row r="28" spans="1:28" x14ac:dyDescent="0.3">
      <c r="A28" t="s">
        <v>1</v>
      </c>
    </row>
    <row r="29" spans="1:28" x14ac:dyDescent="0.3">
      <c r="A29" s="11" t="s">
        <v>47</v>
      </c>
      <c r="B29" s="12"/>
      <c r="C29" s="12"/>
      <c r="D29" s="12"/>
      <c r="E29" s="12"/>
      <c r="F29" s="12"/>
      <c r="G29" s="12"/>
      <c r="H29" s="11" t="s">
        <v>48</v>
      </c>
      <c r="I29" s="12"/>
      <c r="J29" s="12"/>
      <c r="K29" s="12"/>
    </row>
    <row r="30" spans="1:28" ht="52.8" x14ac:dyDescent="0.3">
      <c r="A30" s="12"/>
      <c r="B30" s="12" t="s">
        <v>49</v>
      </c>
      <c r="C30" s="12" t="s">
        <v>50</v>
      </c>
      <c r="D30" s="12"/>
      <c r="E30" s="12" t="s">
        <v>51</v>
      </c>
      <c r="F30" s="13" t="s">
        <v>52</v>
      </c>
      <c r="G30" s="12"/>
      <c r="H30" s="12"/>
      <c r="I30" s="12" t="s">
        <v>53</v>
      </c>
      <c r="J30" s="12" t="s">
        <v>54</v>
      </c>
      <c r="K30" s="12"/>
      <c r="L30" s="12" t="s">
        <v>51</v>
      </c>
      <c r="M30" s="13" t="s">
        <v>52</v>
      </c>
      <c r="O30" s="19" t="s">
        <v>62</v>
      </c>
      <c r="P30" s="19"/>
      <c r="Q30" s="19"/>
      <c r="R30" s="19" t="s">
        <v>63</v>
      </c>
      <c r="S30" s="19"/>
      <c r="T30" s="19"/>
      <c r="U30" s="19" t="s">
        <v>64</v>
      </c>
      <c r="V30" s="19"/>
      <c r="W30" s="19"/>
      <c r="X30" s="19"/>
      <c r="Y30" s="19" t="s">
        <v>66</v>
      </c>
      <c r="Z30" s="19"/>
      <c r="AA30" s="19"/>
    </row>
    <row r="31" spans="1:28" x14ac:dyDescent="0.3">
      <c r="A31" s="1" t="s">
        <v>55</v>
      </c>
      <c r="B31" s="1">
        <v>20.362140655517578</v>
      </c>
      <c r="C31" s="1">
        <v>20.182621002197266</v>
      </c>
      <c r="D31" s="1"/>
      <c r="E31" s="14" t="s">
        <v>9</v>
      </c>
      <c r="F31" s="1">
        <f>AVERAGE(C31:C33)</f>
        <v>17.359451929728191</v>
      </c>
      <c r="G31" s="1"/>
      <c r="H31" s="1" t="s">
        <v>55</v>
      </c>
      <c r="I31" s="1">
        <v>26.719156265258789</v>
      </c>
      <c r="J31" s="1">
        <v>26.585655212402344</v>
      </c>
      <c r="K31" s="1"/>
      <c r="L31" s="14" t="s">
        <v>9</v>
      </c>
      <c r="M31" s="1">
        <f>AVERAGE(J31:J33)</f>
        <v>24.68178431193034</v>
      </c>
      <c r="O31" s="1" t="s">
        <v>55</v>
      </c>
      <c r="P31">
        <f>J31-C31</f>
        <v>6.4030342102050781</v>
      </c>
      <c r="R31" s="18">
        <f>AVERAGE(P31:P33)</f>
        <v>7.3223323822021484</v>
      </c>
      <c r="S31" s="18"/>
      <c r="T31" s="18"/>
      <c r="V31" s="1" t="s">
        <v>55</v>
      </c>
      <c r="W31">
        <f>P31-$R$31</f>
        <v>-0.91929817199707031</v>
      </c>
      <c r="Y31" s="1" t="s">
        <v>55</v>
      </c>
      <c r="Z31" s="16">
        <f>2^(-W31)</f>
        <v>1.8911950597836269</v>
      </c>
      <c r="AB31" s="16">
        <f>AVERAGE(Z31:Z33)</f>
        <v>1.1184470039583705</v>
      </c>
    </row>
    <row r="32" spans="1:28" x14ac:dyDescent="0.3">
      <c r="A32" s="1" t="s">
        <v>57</v>
      </c>
      <c r="B32" s="1">
        <v>15.738757133483887</v>
      </c>
      <c r="C32" s="1">
        <v>15.437723159790039</v>
      </c>
      <c r="D32" s="1"/>
      <c r="E32" s="14" t="s">
        <v>56</v>
      </c>
      <c r="F32" s="1">
        <f>AVERAGE(C34:C36)</f>
        <v>16.21683406829834</v>
      </c>
      <c r="G32" s="1"/>
      <c r="H32" s="1" t="s">
        <v>57</v>
      </c>
      <c r="I32" s="1">
        <v>23.616617202758789</v>
      </c>
      <c r="J32" s="1">
        <v>23.052146911621094</v>
      </c>
      <c r="K32" s="1"/>
      <c r="L32" s="14" t="s">
        <v>56</v>
      </c>
      <c r="M32" s="1">
        <f>AVERAGE(J34:J36)</f>
        <v>23.744835535685223</v>
      </c>
      <c r="O32" s="1" t="s">
        <v>57</v>
      </c>
      <c r="P32">
        <f t="shared" ref="P32:P36" si="2">J32-C32</f>
        <v>7.6144237518310547</v>
      </c>
      <c r="V32" s="1" t="s">
        <v>57</v>
      </c>
      <c r="W32">
        <f t="shared" ref="W32:W36" si="3">P32-$R$31</f>
        <v>0.29209136962890625</v>
      </c>
      <c r="Y32" s="1" t="s">
        <v>57</v>
      </c>
      <c r="Z32" s="16">
        <f>2^(-W32)</f>
        <v>0.81671726464367622</v>
      </c>
    </row>
    <row r="33" spans="1:29" x14ac:dyDescent="0.3">
      <c r="A33" s="1" t="s">
        <v>58</v>
      </c>
      <c r="B33" s="1">
        <v>16.757722854614258</v>
      </c>
      <c r="C33" s="1">
        <v>16.458011627197266</v>
      </c>
      <c r="D33" s="1"/>
      <c r="E33" s="14"/>
      <c r="F33" s="1"/>
      <c r="G33" s="1"/>
      <c r="H33" s="1" t="s">
        <v>58</v>
      </c>
      <c r="I33" s="1">
        <v>24.534114837646484</v>
      </c>
      <c r="J33" s="1">
        <v>24.407550811767578</v>
      </c>
      <c r="K33" s="1"/>
      <c r="O33" s="1" t="s">
        <v>58</v>
      </c>
      <c r="P33">
        <f t="shared" si="2"/>
        <v>7.9495391845703125</v>
      </c>
      <c r="V33" s="1" t="s">
        <v>58</v>
      </c>
      <c r="W33">
        <f t="shared" si="3"/>
        <v>0.62720680236816406</v>
      </c>
      <c r="Y33" s="1" t="s">
        <v>58</v>
      </c>
      <c r="Z33" s="16">
        <f>2^(-W33)</f>
        <v>0.64742868744780879</v>
      </c>
    </row>
    <row r="34" spans="1:29" x14ac:dyDescent="0.3">
      <c r="A34" s="1" t="s">
        <v>59</v>
      </c>
      <c r="B34" s="1">
        <v>15.845563888549805</v>
      </c>
      <c r="C34" s="1">
        <v>15.769126892089844</v>
      </c>
      <c r="D34" s="1"/>
      <c r="E34" s="1"/>
      <c r="F34" s="1"/>
      <c r="G34" s="1"/>
      <c r="H34" s="1" t="s">
        <v>59</v>
      </c>
      <c r="I34" s="1">
        <v>23.31494140625</v>
      </c>
      <c r="J34" s="1">
        <v>23.585010528564453</v>
      </c>
      <c r="K34" s="1"/>
      <c r="O34" s="1" t="s">
        <v>59</v>
      </c>
      <c r="P34">
        <f t="shared" si="2"/>
        <v>7.8158836364746094</v>
      </c>
      <c r="V34" s="1" t="s">
        <v>59</v>
      </c>
      <c r="W34">
        <f t="shared" si="3"/>
        <v>0.49355125427246094</v>
      </c>
      <c r="Y34" s="1" t="s">
        <v>59</v>
      </c>
      <c r="Z34" s="16">
        <f>2^(-W34)</f>
        <v>0.71027457357437795</v>
      </c>
      <c r="AB34" s="16">
        <f>AVERAGE(Z34:Z36)</f>
        <v>0.89461253615296632</v>
      </c>
    </row>
    <row r="35" spans="1:29" x14ac:dyDescent="0.3">
      <c r="A35" s="1" t="s">
        <v>60</v>
      </c>
      <c r="B35" s="1">
        <v>16.602277755737305</v>
      </c>
      <c r="C35" s="1">
        <v>16.949726104736328</v>
      </c>
      <c r="D35" s="1"/>
      <c r="E35" s="1"/>
      <c r="F35" s="1"/>
      <c r="G35" s="1"/>
      <c r="H35" s="1" t="s">
        <v>60</v>
      </c>
      <c r="I35" s="1">
        <v>23.90916633605957</v>
      </c>
      <c r="J35" s="1">
        <v>23.981752395629883</v>
      </c>
      <c r="K35" s="1"/>
      <c r="O35" s="1" t="s">
        <v>60</v>
      </c>
      <c r="P35">
        <f t="shared" si="2"/>
        <v>7.0320262908935547</v>
      </c>
      <c r="V35" s="1" t="s">
        <v>60</v>
      </c>
      <c r="W35">
        <f t="shared" si="3"/>
        <v>-0.29030609130859375</v>
      </c>
      <c r="Y35" s="1" t="s">
        <v>60</v>
      </c>
      <c r="Z35" s="16">
        <f t="shared" ref="Z35:Z36" si="4">2^(-W35)</f>
        <v>1.2228997083099433</v>
      </c>
    </row>
    <row r="36" spans="1:29" x14ac:dyDescent="0.3">
      <c r="A36" s="1" t="s">
        <v>61</v>
      </c>
      <c r="B36" s="1">
        <v>16.161745071411133</v>
      </c>
      <c r="C36" s="1">
        <v>15.931649208068848</v>
      </c>
      <c r="D36" s="1"/>
      <c r="E36" s="1"/>
      <c r="F36" s="1"/>
      <c r="G36" s="1"/>
      <c r="H36" s="1" t="s">
        <v>61</v>
      </c>
      <c r="I36" s="1">
        <v>23.791210174560547</v>
      </c>
      <c r="J36" s="1">
        <v>23.667743682861328</v>
      </c>
      <c r="K36" s="1"/>
      <c r="O36" s="1" t="s">
        <v>61</v>
      </c>
      <c r="P36">
        <f t="shared" si="2"/>
        <v>7.7360944747924805</v>
      </c>
      <c r="V36" s="1" t="s">
        <v>61</v>
      </c>
      <c r="W36">
        <f t="shared" si="3"/>
        <v>0.41376209259033203</v>
      </c>
      <c r="Y36" s="1" t="s">
        <v>61</v>
      </c>
      <c r="Z36" s="16">
        <f t="shared" si="4"/>
        <v>0.75066332657457746</v>
      </c>
    </row>
    <row r="37" spans="1:29" x14ac:dyDescent="0.3">
      <c r="D37" s="1"/>
      <c r="E37" s="1"/>
      <c r="F37" s="1"/>
      <c r="G37" s="1"/>
      <c r="K37" s="1"/>
      <c r="O37" s="20" t="s">
        <v>14</v>
      </c>
      <c r="P37" s="20"/>
      <c r="Q37" s="20"/>
      <c r="W37" t="s">
        <v>65</v>
      </c>
      <c r="AB37" s="22">
        <f>1-(AB34/AB31)</f>
        <v>0.20012970396739105</v>
      </c>
      <c r="AC37" t="s">
        <v>72</v>
      </c>
    </row>
    <row r="39" spans="1:29" x14ac:dyDescent="0.3">
      <c r="A39" s="1" t="s">
        <v>2</v>
      </c>
    </row>
    <row r="40" spans="1:29" x14ac:dyDescent="0.3">
      <c r="A40" s="11" t="s">
        <v>47</v>
      </c>
      <c r="B40" s="12"/>
      <c r="C40" s="12"/>
      <c r="D40" s="12"/>
      <c r="E40" s="12"/>
      <c r="F40" s="12"/>
      <c r="G40" s="12"/>
      <c r="H40" s="11" t="s">
        <v>48</v>
      </c>
      <c r="I40" s="12"/>
      <c r="J40" s="12"/>
      <c r="K40" s="12"/>
      <c r="L40" s="1"/>
      <c r="M40" s="1"/>
    </row>
    <row r="41" spans="1:29" ht="52.8" x14ac:dyDescent="0.3">
      <c r="A41" s="12"/>
      <c r="B41" s="12" t="s">
        <v>49</v>
      </c>
      <c r="C41" s="12" t="s">
        <v>50</v>
      </c>
      <c r="D41" s="12"/>
      <c r="E41" s="12" t="s">
        <v>51</v>
      </c>
      <c r="F41" s="13" t="s">
        <v>52</v>
      </c>
      <c r="G41" s="12"/>
      <c r="H41" s="12"/>
      <c r="I41" s="12" t="s">
        <v>53</v>
      </c>
      <c r="J41" s="12" t="s">
        <v>54</v>
      </c>
      <c r="K41" s="12"/>
      <c r="L41" s="12" t="s">
        <v>51</v>
      </c>
      <c r="M41" s="13" t="s">
        <v>52</v>
      </c>
      <c r="O41" s="19" t="s">
        <v>62</v>
      </c>
      <c r="P41" s="19"/>
      <c r="Q41" s="19"/>
      <c r="R41" s="19" t="s">
        <v>63</v>
      </c>
      <c r="S41" s="19"/>
      <c r="T41" s="19"/>
      <c r="U41" s="19" t="s">
        <v>64</v>
      </c>
      <c r="V41" s="19"/>
      <c r="W41" s="19"/>
      <c r="X41" s="19"/>
      <c r="Y41" s="19" t="s">
        <v>66</v>
      </c>
      <c r="Z41" s="19"/>
      <c r="AA41" s="19"/>
    </row>
    <row r="42" spans="1:29" x14ac:dyDescent="0.3">
      <c r="A42" s="1" t="s">
        <v>55</v>
      </c>
      <c r="B42" s="1">
        <v>20.362548828125</v>
      </c>
      <c r="C42" s="1">
        <v>20.3939208984375</v>
      </c>
      <c r="D42" s="1"/>
      <c r="E42" s="14" t="s">
        <v>9</v>
      </c>
      <c r="F42" s="15">
        <f>AVERAGE(C42,C43,C44)</f>
        <v>17.756937026977539</v>
      </c>
      <c r="G42" s="1"/>
      <c r="H42" s="1" t="s">
        <v>55</v>
      </c>
      <c r="I42" s="1">
        <v>30.011074066162109</v>
      </c>
      <c r="J42" s="1">
        <v>30.315114974975586</v>
      </c>
      <c r="K42" s="1"/>
      <c r="L42" s="14" t="s">
        <v>9</v>
      </c>
      <c r="M42" s="15">
        <f>AVERAGE(J42,J43,J44)</f>
        <v>29.037366231282551</v>
      </c>
      <c r="O42" s="1" t="s">
        <v>55</v>
      </c>
      <c r="P42">
        <f>J42-C42</f>
        <v>9.9211940765380859</v>
      </c>
      <c r="R42" s="18">
        <f>AVERAGE(P42:P44)</f>
        <v>11.280429204305014</v>
      </c>
      <c r="S42" s="18"/>
      <c r="T42" s="18"/>
      <c r="V42" s="1" t="s">
        <v>55</v>
      </c>
      <c r="W42">
        <f>P42-$R$42</f>
        <v>-1.3592351277669277</v>
      </c>
      <c r="Y42" s="1" t="s">
        <v>55</v>
      </c>
      <c r="Z42" s="16">
        <f>2^(-W42)</f>
        <v>2.5654912904752871</v>
      </c>
      <c r="AA42" s="16">
        <f>AVERAGE(Z42:Z44)</f>
        <v>1.2911370252018364</v>
      </c>
    </row>
    <row r="43" spans="1:29" x14ac:dyDescent="0.3">
      <c r="A43" s="1" t="s">
        <v>57</v>
      </c>
      <c r="B43" s="1">
        <v>15.452932357788086</v>
      </c>
      <c r="C43" s="1">
        <v>15.566339492797852</v>
      </c>
      <c r="D43" s="1"/>
      <c r="E43" s="14" t="s">
        <v>56</v>
      </c>
      <c r="F43" s="15">
        <f>AVERAGE(C45,C46,C47)</f>
        <v>16.907101949055988</v>
      </c>
      <c r="G43" s="1"/>
      <c r="H43" s="1" t="s">
        <v>57</v>
      </c>
      <c r="I43" s="1">
        <v>27.017578125</v>
      </c>
      <c r="J43" s="1">
        <v>27.083656311035156</v>
      </c>
      <c r="K43" s="1"/>
      <c r="L43" s="14" t="s">
        <v>56</v>
      </c>
      <c r="M43" s="15">
        <f>AVERAGE(J45,J46,J47)</f>
        <v>28.397655487060547</v>
      </c>
      <c r="O43" s="1" t="s">
        <v>57</v>
      </c>
      <c r="P43">
        <f t="shared" ref="P43:P47" si="5">J43-C43</f>
        <v>11.517316818237305</v>
      </c>
      <c r="V43" s="1" t="s">
        <v>57</v>
      </c>
      <c r="W43">
        <f>P43-$R$42</f>
        <v>0.23688761393229107</v>
      </c>
      <c r="Y43" s="1" t="s">
        <v>57</v>
      </c>
      <c r="Z43" s="16">
        <f t="shared" ref="Z43:Z47" si="6">2^(-W43)</f>
        <v>0.848574003119002</v>
      </c>
    </row>
    <row r="44" spans="1:29" x14ac:dyDescent="0.3">
      <c r="A44" s="1" t="s">
        <v>58</v>
      </c>
      <c r="B44" s="1">
        <v>17.196399688720703</v>
      </c>
      <c r="C44" s="1">
        <v>17.310550689697266</v>
      </c>
      <c r="D44" s="1"/>
      <c r="E44" s="14"/>
      <c r="F44" s="1"/>
      <c r="G44" s="1"/>
      <c r="H44" s="1" t="s">
        <v>58</v>
      </c>
      <c r="I44" s="1">
        <v>29.533370971679688</v>
      </c>
      <c r="J44" s="1">
        <v>29.713327407836914</v>
      </c>
      <c r="K44" s="1"/>
      <c r="L44" s="14"/>
      <c r="M44" s="1"/>
      <c r="O44" s="1" t="s">
        <v>58</v>
      </c>
      <c r="P44">
        <f t="shared" si="5"/>
        <v>12.402776718139648</v>
      </c>
      <c r="V44" s="1" t="s">
        <v>58</v>
      </c>
      <c r="W44">
        <f>P44-$R$42</f>
        <v>1.1223475138346348</v>
      </c>
      <c r="Y44" s="1" t="s">
        <v>58</v>
      </c>
      <c r="Z44" s="16">
        <f t="shared" si="6"/>
        <v>0.45934578201122023</v>
      </c>
    </row>
    <row r="45" spans="1:29" x14ac:dyDescent="0.3">
      <c r="A45" s="1" t="s">
        <v>59</v>
      </c>
      <c r="B45" s="1">
        <v>16.494436264038086</v>
      </c>
      <c r="C45" s="1">
        <v>16.719043731689453</v>
      </c>
      <c r="D45" s="1"/>
      <c r="E45" s="1"/>
      <c r="F45" s="1"/>
      <c r="G45" s="1"/>
      <c r="H45" s="1" t="s">
        <v>59</v>
      </c>
      <c r="I45" s="1">
        <v>27.778141021728516</v>
      </c>
      <c r="J45" s="1">
        <v>27.855098724365234</v>
      </c>
      <c r="K45" s="1"/>
      <c r="L45" s="1"/>
      <c r="M45" s="1"/>
      <c r="O45" s="1" t="s">
        <v>59</v>
      </c>
      <c r="P45">
        <f t="shared" si="5"/>
        <v>11.136054992675781</v>
      </c>
      <c r="V45" s="1" t="s">
        <v>59</v>
      </c>
      <c r="W45">
        <f>P45-$R$42</f>
        <v>-0.14437421162923236</v>
      </c>
      <c r="Y45" s="1" t="s">
        <v>59</v>
      </c>
      <c r="Z45" s="16">
        <f t="shared" si="6"/>
        <v>1.1052511317900102</v>
      </c>
      <c r="AA45" s="16">
        <f>AVERAGE(Z45:Z47)</f>
        <v>0.89161173421521622</v>
      </c>
      <c r="AB45" s="22">
        <f>1-(AA45/AA42)</f>
        <v>0.30943678570767075</v>
      </c>
      <c r="AC45" t="s">
        <v>72</v>
      </c>
    </row>
    <row r="46" spans="1:29" x14ac:dyDescent="0.3">
      <c r="A46" s="1" t="s">
        <v>60</v>
      </c>
      <c r="B46" s="1">
        <v>17.148353576660156</v>
      </c>
      <c r="C46" s="1">
        <v>17.245986938476563</v>
      </c>
      <c r="D46" s="1"/>
      <c r="E46" s="1"/>
      <c r="F46" s="1"/>
      <c r="G46" s="1"/>
      <c r="H46" s="1" t="s">
        <v>60</v>
      </c>
      <c r="I46" s="1">
        <v>28.503793716430664</v>
      </c>
      <c r="J46" s="1">
        <v>28.582286834716797</v>
      </c>
      <c r="K46" s="1"/>
      <c r="L46" s="1"/>
      <c r="M46" s="1"/>
      <c r="O46" s="1" t="s">
        <v>60</v>
      </c>
      <c r="P46">
        <f t="shared" si="5"/>
        <v>11.336299896240234</v>
      </c>
      <c r="V46" s="1" t="s">
        <v>60</v>
      </c>
      <c r="W46">
        <f t="shared" ref="W46:W47" si="7">P46-$R$42</f>
        <v>5.5870691935220762E-2</v>
      </c>
      <c r="Y46" s="1" t="s">
        <v>60</v>
      </c>
      <c r="Z46" s="16">
        <f t="shared" si="6"/>
        <v>0.96201367562523055</v>
      </c>
    </row>
    <row r="47" spans="1:29" x14ac:dyDescent="0.3">
      <c r="A47" s="1" t="s">
        <v>61</v>
      </c>
      <c r="B47" s="1">
        <v>16.659023284912109</v>
      </c>
      <c r="C47" s="1">
        <v>16.756275177001953</v>
      </c>
      <c r="D47" s="1"/>
      <c r="E47" s="1"/>
      <c r="F47" s="1"/>
      <c r="G47" s="1"/>
      <c r="H47" s="1" t="s">
        <v>61</v>
      </c>
      <c r="I47" s="1">
        <v>28.725759506225586</v>
      </c>
      <c r="J47" s="1">
        <v>28.755580902099609</v>
      </c>
      <c r="K47" s="1"/>
      <c r="L47" s="1"/>
      <c r="M47" s="1"/>
      <c r="O47" s="1" t="s">
        <v>61</v>
      </c>
      <c r="P47">
        <f t="shared" si="5"/>
        <v>11.999305725097656</v>
      </c>
      <c r="V47" s="1" t="s">
        <v>61</v>
      </c>
      <c r="W47">
        <f t="shared" si="7"/>
        <v>0.71887652079264264</v>
      </c>
      <c r="Y47" s="1" t="s">
        <v>61</v>
      </c>
      <c r="Z47" s="16">
        <f t="shared" si="6"/>
        <v>0.60757039523040801</v>
      </c>
    </row>
    <row r="48" spans="1:29" x14ac:dyDescent="0.3">
      <c r="D48" s="1"/>
      <c r="E48" s="1"/>
      <c r="F48" s="1"/>
      <c r="G48" s="1"/>
      <c r="K48" s="1"/>
      <c r="L48" s="1"/>
      <c r="M48" s="1"/>
      <c r="O48" s="20" t="s">
        <v>14</v>
      </c>
      <c r="P48" s="20"/>
      <c r="Q48" s="20"/>
      <c r="W48" t="s">
        <v>65</v>
      </c>
    </row>
  </sheetData>
  <mergeCells count="13">
    <mergeCell ref="O3:P3"/>
    <mergeCell ref="O30:Q30"/>
    <mergeCell ref="O41:Q41"/>
    <mergeCell ref="R41:T41"/>
    <mergeCell ref="R42:T42"/>
    <mergeCell ref="U41:X41"/>
    <mergeCell ref="Y41:AA41"/>
    <mergeCell ref="O48:Q48"/>
    <mergeCell ref="R30:T30"/>
    <mergeCell ref="U30:X30"/>
    <mergeCell ref="Y30:AA30"/>
    <mergeCell ref="R31:T31"/>
    <mergeCell ref="O37:Q37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93AF-E330-4BBC-BBFE-BF7D855D517C}">
  <dimension ref="A1:AA30"/>
  <sheetViews>
    <sheetView workbookViewId="0">
      <selection activeCell="U27" sqref="U27"/>
    </sheetView>
  </sheetViews>
  <sheetFormatPr defaultRowHeight="14.4" x14ac:dyDescent="0.3"/>
  <cols>
    <col min="26" max="26" width="12.88671875" customWidth="1"/>
  </cols>
  <sheetData>
    <row r="1" spans="1:27" x14ac:dyDescent="0.3">
      <c r="A1" t="s">
        <v>15</v>
      </c>
    </row>
    <row r="3" spans="1:27" x14ac:dyDescent="0.3">
      <c r="B3" t="s">
        <v>12</v>
      </c>
      <c r="G3" t="s">
        <v>11</v>
      </c>
      <c r="O3" s="18" t="s">
        <v>14</v>
      </c>
      <c r="P3" s="18"/>
    </row>
    <row r="4" spans="1:27" x14ac:dyDescent="0.3">
      <c r="A4" t="s">
        <v>13</v>
      </c>
      <c r="B4" s="1">
        <v>37.533653259277344</v>
      </c>
      <c r="D4" t="s">
        <v>13</v>
      </c>
      <c r="E4">
        <f>AVERAGE(B4,B5,B6)</f>
        <v>37.407470703125</v>
      </c>
      <c r="G4" s="1">
        <v>13.221107482910156</v>
      </c>
      <c r="I4" t="s">
        <v>13</v>
      </c>
      <c r="J4">
        <f>AVERAGE(G4,G5,G6)</f>
        <v>13.01266892751058</v>
      </c>
      <c r="L4">
        <f>2^-((B4-G4)-($E$4-$J$4))</f>
        <v>1.0586722344692945</v>
      </c>
      <c r="O4">
        <v>1.0586722344692945</v>
      </c>
      <c r="P4">
        <v>1.7730679804452019</v>
      </c>
    </row>
    <row r="5" spans="1:27" x14ac:dyDescent="0.3">
      <c r="A5" t="s">
        <v>13</v>
      </c>
      <c r="B5" s="2">
        <v>37.224464416503906</v>
      </c>
      <c r="D5" t="s">
        <v>6</v>
      </c>
      <c r="E5">
        <f>AVERAGE(B8,B9,B7)</f>
        <v>38.407892862955727</v>
      </c>
      <c r="G5" s="2">
        <v>13.21930980682373</v>
      </c>
      <c r="I5" t="s">
        <v>6</v>
      </c>
      <c r="J5">
        <f>AVERAGE(G8,G9,G7)</f>
        <v>14.046255111694336</v>
      </c>
      <c r="L5">
        <f t="shared" ref="L5:L9" si="0">2^-((B5-G5)-($E$4-$J$4))</f>
        <v>1.3100729654523067</v>
      </c>
      <c r="O5">
        <v>1.3100729654523067</v>
      </c>
      <c r="P5">
        <v>1.813366917830096</v>
      </c>
    </row>
    <row r="6" spans="1:27" x14ac:dyDescent="0.3">
      <c r="A6" t="s">
        <v>13</v>
      </c>
      <c r="B6" s="1">
        <v>37.46429443359375</v>
      </c>
      <c r="G6" s="1">
        <v>12.597589492797852</v>
      </c>
      <c r="L6">
        <f>2^-((B6-G6)-($E$4-$J$4))</f>
        <v>0.72101282905050745</v>
      </c>
      <c r="O6">
        <v>0.72101282905050745</v>
      </c>
      <c r="P6">
        <v>0.33322610968404864</v>
      </c>
    </row>
    <row r="7" spans="1:27" x14ac:dyDescent="0.3">
      <c r="A7" t="s">
        <v>6</v>
      </c>
      <c r="B7" s="1">
        <v>38.021507263183594</v>
      </c>
      <c r="G7" s="1">
        <v>14.452953338623047</v>
      </c>
      <c r="L7">
        <f t="shared" si="0"/>
        <v>1.7730679804452019</v>
      </c>
      <c r="O7">
        <f>AVERAGE(O4:O6)</f>
        <v>1.0299193429907028</v>
      </c>
      <c r="P7">
        <f>AVERAGE(P4:P6)</f>
        <v>1.3065536693197821</v>
      </c>
    </row>
    <row r="8" spans="1:27" x14ac:dyDescent="0.3">
      <c r="A8" t="s">
        <v>6</v>
      </c>
      <c r="B8" s="2">
        <v>37.467788696289063</v>
      </c>
      <c r="G8" s="2">
        <v>13.931657791137695</v>
      </c>
      <c r="L8">
        <f t="shared" si="0"/>
        <v>1.813366917830096</v>
      </c>
    </row>
    <row r="9" spans="1:27" x14ac:dyDescent="0.3">
      <c r="A9" t="s">
        <v>6</v>
      </c>
      <c r="B9" s="3">
        <v>39.734382629394531</v>
      </c>
      <c r="G9" s="2">
        <v>13.754154205322266</v>
      </c>
      <c r="L9">
        <f t="shared" si="0"/>
        <v>0.33322610968404864</v>
      </c>
    </row>
    <row r="11" spans="1:27" x14ac:dyDescent="0.3">
      <c r="G11" s="1"/>
    </row>
    <row r="12" spans="1:27" x14ac:dyDescent="0.3">
      <c r="G12" s="1"/>
    </row>
    <row r="13" spans="1:27" x14ac:dyDescent="0.3">
      <c r="G13" s="1"/>
    </row>
    <row r="14" spans="1:27" x14ac:dyDescent="0.3">
      <c r="A14" t="s">
        <v>1</v>
      </c>
    </row>
    <row r="15" spans="1:27" x14ac:dyDescent="0.3">
      <c r="A15" s="11" t="s">
        <v>47</v>
      </c>
      <c r="B15" s="12"/>
      <c r="C15" s="12"/>
      <c r="D15" s="12"/>
      <c r="E15" s="12"/>
      <c r="F15" s="12"/>
      <c r="G15" s="12"/>
      <c r="H15" s="11" t="s">
        <v>48</v>
      </c>
      <c r="I15" s="12"/>
      <c r="J15" s="12"/>
      <c r="K15" s="12"/>
    </row>
    <row r="16" spans="1:27" ht="52.8" x14ac:dyDescent="0.3">
      <c r="A16" s="12"/>
      <c r="B16" s="12"/>
      <c r="C16" s="12" t="s">
        <v>50</v>
      </c>
      <c r="D16" s="12"/>
      <c r="E16" s="12" t="s">
        <v>51</v>
      </c>
      <c r="F16" s="13" t="s">
        <v>52</v>
      </c>
      <c r="G16" s="12"/>
      <c r="H16" s="12"/>
      <c r="I16" s="12"/>
      <c r="J16" s="12" t="s">
        <v>54</v>
      </c>
      <c r="K16" s="12"/>
      <c r="L16" s="12" t="s">
        <v>51</v>
      </c>
      <c r="M16" s="13" t="s">
        <v>52</v>
      </c>
      <c r="O16" s="19" t="s">
        <v>62</v>
      </c>
      <c r="P16" s="19"/>
      <c r="Q16" s="19"/>
      <c r="R16" s="19" t="s">
        <v>63</v>
      </c>
      <c r="S16" s="19"/>
      <c r="T16" s="19"/>
      <c r="U16" s="19" t="s">
        <v>64</v>
      </c>
      <c r="V16" s="19"/>
      <c r="W16" s="19"/>
      <c r="X16" s="19"/>
      <c r="Y16" s="19" t="s">
        <v>66</v>
      </c>
      <c r="Z16" s="19"/>
      <c r="AA16" s="19"/>
    </row>
    <row r="17" spans="1:27" x14ac:dyDescent="0.3">
      <c r="A17" s="1" t="s">
        <v>55</v>
      </c>
      <c r="B17" s="1"/>
      <c r="C17" s="1">
        <v>13.221107482910156</v>
      </c>
      <c r="D17" s="1"/>
      <c r="E17" s="14" t="s">
        <v>9</v>
      </c>
      <c r="F17" s="1">
        <f>AVERAGE(C17:C19)</f>
        <v>13.01266892751058</v>
      </c>
      <c r="G17" s="1"/>
      <c r="H17" s="1" t="s">
        <v>55</v>
      </c>
      <c r="I17" s="1"/>
      <c r="J17" s="1">
        <v>37.533653259277344</v>
      </c>
      <c r="K17" s="1"/>
      <c r="L17" s="14" t="s">
        <v>9</v>
      </c>
      <c r="M17" s="1">
        <f>AVERAGE(J17:J19)</f>
        <v>37.407470703125</v>
      </c>
      <c r="O17" s="1" t="s">
        <v>55</v>
      </c>
      <c r="P17">
        <f>J17-C17</f>
        <v>24.312545776367188</v>
      </c>
      <c r="R17" s="18">
        <f>AVERAGE(P17:P19)</f>
        <v>24.394801775614422</v>
      </c>
      <c r="S17" s="18"/>
      <c r="T17" s="18"/>
      <c r="V17" s="1" t="s">
        <v>55</v>
      </c>
      <c r="W17">
        <f>P17-$R$17</f>
        <v>-8.2255999247234257E-2</v>
      </c>
      <c r="Y17" s="1" t="s">
        <v>55</v>
      </c>
      <c r="Z17" s="16">
        <f>2^(-W17)</f>
        <v>1.0586722344692971</v>
      </c>
      <c r="AA17" s="16">
        <f>AVERAGE(Z17:Z19)</f>
        <v>1.0299193429907054</v>
      </c>
    </row>
    <row r="18" spans="1:27" x14ac:dyDescent="0.3">
      <c r="A18" s="1" t="s">
        <v>57</v>
      </c>
      <c r="B18" s="1"/>
      <c r="C18" s="1">
        <v>13.21930980682373</v>
      </c>
      <c r="D18" s="1"/>
      <c r="E18" s="14" t="s">
        <v>56</v>
      </c>
      <c r="F18" s="1">
        <f>AVERAGE(C20:C22)</f>
        <v>14.07082716623942</v>
      </c>
      <c r="G18" s="1"/>
      <c r="H18" s="1" t="s">
        <v>57</v>
      </c>
      <c r="I18" s="1"/>
      <c r="J18" s="1">
        <v>37.224464416503906</v>
      </c>
      <c r="K18" s="1"/>
      <c r="L18" s="14" t="s">
        <v>56</v>
      </c>
      <c r="M18" s="1">
        <f>AVERAGE(J20:J22)</f>
        <v>38.407892862955727</v>
      </c>
      <c r="O18" s="1" t="s">
        <v>57</v>
      </c>
      <c r="P18">
        <f t="shared" ref="P18:P22" si="1">J18-C18</f>
        <v>24.005154609680176</v>
      </c>
      <c r="V18" s="1" t="s">
        <v>57</v>
      </c>
      <c r="W18">
        <f t="shared" ref="W18:W22" si="2">P18-$R$17</f>
        <v>-0.38964716593424598</v>
      </c>
      <c r="Y18" s="1" t="s">
        <v>57</v>
      </c>
      <c r="Z18" s="16">
        <f>2^(-W18)</f>
        <v>1.31007296545231</v>
      </c>
    </row>
    <row r="19" spans="1:27" x14ac:dyDescent="0.3">
      <c r="A19" s="1" t="s">
        <v>58</v>
      </c>
      <c r="B19" s="1"/>
      <c r="C19" s="1">
        <v>12.597589492797852</v>
      </c>
      <c r="D19" s="1"/>
      <c r="E19" s="14"/>
      <c r="F19" s="1"/>
      <c r="G19" s="1"/>
      <c r="H19" s="1" t="s">
        <v>58</v>
      </c>
      <c r="I19" s="1"/>
      <c r="J19" s="1">
        <v>37.46429443359375</v>
      </c>
      <c r="K19" s="1"/>
      <c r="O19" s="1" t="s">
        <v>58</v>
      </c>
      <c r="P19">
        <f t="shared" si="1"/>
        <v>24.866704940795898</v>
      </c>
      <c r="V19" s="1" t="s">
        <v>58</v>
      </c>
      <c r="W19">
        <f t="shared" si="2"/>
        <v>0.47190316518147668</v>
      </c>
      <c r="Y19" s="1" t="s">
        <v>58</v>
      </c>
      <c r="Z19" s="16">
        <f>2^(-W19)</f>
        <v>0.72101282905050923</v>
      </c>
    </row>
    <row r="20" spans="1:27" x14ac:dyDescent="0.3">
      <c r="A20" s="1" t="s">
        <v>59</v>
      </c>
      <c r="B20" s="1"/>
      <c r="C20" s="1">
        <v>14.452953338623047</v>
      </c>
      <c r="D20" s="1"/>
      <c r="E20" s="1"/>
      <c r="F20" s="1"/>
      <c r="G20" s="1"/>
      <c r="H20" s="1" t="s">
        <v>59</v>
      </c>
      <c r="I20" s="1"/>
      <c r="J20" s="1">
        <v>38.021507263183594</v>
      </c>
      <c r="K20" s="1"/>
      <c r="O20" s="1" t="s">
        <v>59</v>
      </c>
      <c r="P20">
        <f t="shared" si="1"/>
        <v>23.568553924560547</v>
      </c>
      <c r="V20" s="1" t="s">
        <v>59</v>
      </c>
      <c r="W20">
        <f t="shared" si="2"/>
        <v>-0.82624785105387488</v>
      </c>
      <c r="Y20" s="1" t="s">
        <v>59</v>
      </c>
      <c r="Z20" s="16">
        <f>2^(-W20)</f>
        <v>1.7730679804452063</v>
      </c>
      <c r="AA20" s="16">
        <f>AVERAGE(Z20:Z22)</f>
        <v>1.312376693400612</v>
      </c>
    </row>
    <row r="21" spans="1:27" x14ac:dyDescent="0.3">
      <c r="A21" s="1" t="s">
        <v>60</v>
      </c>
      <c r="B21" s="1"/>
      <c r="C21" s="1">
        <v>13.931657791137695</v>
      </c>
      <c r="D21" s="1"/>
      <c r="E21" s="1"/>
      <c r="F21" s="1"/>
      <c r="G21" s="1"/>
      <c r="H21" s="1" t="s">
        <v>60</v>
      </c>
      <c r="I21" s="1"/>
      <c r="J21">
        <v>37.467788696289063</v>
      </c>
      <c r="K21" s="1"/>
      <c r="O21" s="1" t="s">
        <v>60</v>
      </c>
      <c r="P21">
        <f t="shared" si="1"/>
        <v>23.536130905151367</v>
      </c>
      <c r="V21" s="1" t="s">
        <v>60</v>
      </c>
      <c r="W21">
        <f t="shared" si="2"/>
        <v>-0.85867087046305457</v>
      </c>
      <c r="Y21" s="1" t="s">
        <v>60</v>
      </c>
      <c r="Z21" s="16">
        <f t="shared" ref="Z21:Z22" si="3">2^(-W21)</f>
        <v>1.8133669178301006</v>
      </c>
    </row>
    <row r="22" spans="1:27" x14ac:dyDescent="0.3">
      <c r="A22" s="1" t="s">
        <v>61</v>
      </c>
      <c r="B22" s="1"/>
      <c r="C22" s="1">
        <v>13.82787036895752</v>
      </c>
      <c r="D22" s="1"/>
      <c r="E22" s="1"/>
      <c r="F22" s="1"/>
      <c r="G22" s="1"/>
      <c r="H22" s="1" t="s">
        <v>61</v>
      </c>
      <c r="I22" s="1"/>
      <c r="J22" s="1">
        <v>39.734382629394531</v>
      </c>
      <c r="K22" s="1"/>
      <c r="O22" s="1" t="s">
        <v>61</v>
      </c>
      <c r="P22">
        <f t="shared" si="1"/>
        <v>25.906512260437012</v>
      </c>
      <c r="V22" s="1" t="s">
        <v>61</v>
      </c>
      <c r="W22">
        <f t="shared" si="2"/>
        <v>1.51171048482259</v>
      </c>
      <c r="Y22" s="1" t="s">
        <v>61</v>
      </c>
      <c r="Z22" s="16">
        <f t="shared" si="3"/>
        <v>0.35069518192652904</v>
      </c>
    </row>
    <row r="23" spans="1:27" x14ac:dyDescent="0.3">
      <c r="D23" s="1"/>
      <c r="E23" s="1"/>
      <c r="F23" s="1"/>
      <c r="G23" s="1"/>
      <c r="K23" s="1"/>
      <c r="O23" s="20" t="s">
        <v>14</v>
      </c>
      <c r="P23" s="20"/>
      <c r="Q23" s="20"/>
      <c r="W23" t="s">
        <v>65</v>
      </c>
    </row>
    <row r="25" spans="1:27" x14ac:dyDescent="0.3">
      <c r="A25" s="1"/>
      <c r="B25" s="1"/>
      <c r="C25" s="1"/>
      <c r="D25" s="1"/>
      <c r="E25" s="14"/>
      <c r="F25" s="1"/>
      <c r="G25" s="1"/>
      <c r="H25" s="1"/>
      <c r="I25" s="1"/>
      <c r="J25" s="1"/>
      <c r="K25" s="1"/>
      <c r="L25" s="14"/>
      <c r="M25" s="1"/>
      <c r="O25" s="1"/>
      <c r="R25" s="18"/>
      <c r="S25" s="18"/>
      <c r="T25" s="18"/>
      <c r="V25" s="1"/>
      <c r="Y25" s="1"/>
      <c r="Z25" s="16"/>
      <c r="AA25" s="16"/>
    </row>
    <row r="26" spans="1:27" x14ac:dyDescent="0.3">
      <c r="A26" s="1"/>
      <c r="B26" s="1"/>
      <c r="C26" s="1"/>
      <c r="D26" s="1"/>
      <c r="E26" s="14"/>
      <c r="F26" s="1"/>
      <c r="G26" s="1"/>
      <c r="H26" s="1"/>
      <c r="I26" s="1"/>
      <c r="J26" s="1"/>
      <c r="K26" s="1"/>
      <c r="L26" s="14"/>
      <c r="M26" s="1"/>
      <c r="O26" s="1"/>
      <c r="V26" s="1"/>
      <c r="Y26" s="1"/>
      <c r="Z26" s="16"/>
    </row>
    <row r="27" spans="1:27" x14ac:dyDescent="0.3">
      <c r="A27" s="1"/>
      <c r="B27" s="1"/>
      <c r="C27" s="1"/>
      <c r="D27" s="1"/>
      <c r="E27" s="14"/>
      <c r="F27" s="1"/>
      <c r="G27" s="1"/>
      <c r="H27" s="1"/>
      <c r="I27" s="1"/>
      <c r="J27" s="1"/>
      <c r="K27" s="1"/>
      <c r="O27" s="1"/>
      <c r="V27" s="1"/>
      <c r="Y27" s="1"/>
      <c r="Z27" s="16"/>
    </row>
    <row r="28" spans="1:2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O28" s="1"/>
      <c r="V28" s="1"/>
      <c r="Y28" s="1"/>
      <c r="Z28" s="16"/>
      <c r="AA28" s="16"/>
    </row>
    <row r="29" spans="1:27" x14ac:dyDescent="0.3">
      <c r="A29" s="1"/>
      <c r="B29" s="1"/>
      <c r="C29" s="1"/>
      <c r="D29" s="1"/>
      <c r="E29" s="1"/>
      <c r="F29" s="1"/>
      <c r="G29" s="1"/>
      <c r="H29" s="1"/>
      <c r="I29" s="1"/>
      <c r="K29" s="1"/>
      <c r="O29" s="1"/>
      <c r="V29" s="1"/>
      <c r="Y29" s="1"/>
      <c r="Z29" s="16"/>
    </row>
    <row r="30" spans="1:2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O30" s="1"/>
      <c r="V30" s="1"/>
      <c r="Y30" s="1"/>
      <c r="Z30" s="16"/>
    </row>
  </sheetData>
  <mergeCells count="8">
    <mergeCell ref="U16:X16"/>
    <mergeCell ref="Y16:AA16"/>
    <mergeCell ref="R25:T25"/>
    <mergeCell ref="R17:T17"/>
    <mergeCell ref="O23:Q23"/>
    <mergeCell ref="O3:P3"/>
    <mergeCell ref="O16:Q16"/>
    <mergeCell ref="R16:T1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EC67-7275-4F37-8ACA-560C7E0FA3EC}">
  <dimension ref="A1:Y55"/>
  <sheetViews>
    <sheetView topLeftCell="B23" workbookViewId="0">
      <selection activeCell="S34" sqref="S34:V36"/>
    </sheetView>
  </sheetViews>
  <sheetFormatPr defaultRowHeight="14.4" x14ac:dyDescent="0.3"/>
  <cols>
    <col min="1" max="1" width="13.5546875" customWidth="1"/>
  </cols>
  <sheetData>
    <row r="1" spans="1:17" x14ac:dyDescent="0.3">
      <c r="A1" t="s">
        <v>70</v>
      </c>
    </row>
    <row r="3" spans="1:17" x14ac:dyDescent="0.3">
      <c r="A3" t="s">
        <v>71</v>
      </c>
      <c r="F3" t="s">
        <v>10</v>
      </c>
    </row>
    <row r="4" spans="1:17" x14ac:dyDescent="0.3">
      <c r="A4">
        <v>1</v>
      </c>
      <c r="B4">
        <v>396</v>
      </c>
      <c r="C4">
        <v>81</v>
      </c>
      <c r="D4">
        <f>$C$8-C4</f>
        <v>155</v>
      </c>
      <c r="F4">
        <v>1</v>
      </c>
      <c r="G4">
        <v>714</v>
      </c>
      <c r="H4">
        <v>46</v>
      </c>
      <c r="I4">
        <f>$H$8-H4</f>
        <v>179</v>
      </c>
      <c r="K4">
        <f>I4/D4</f>
        <v>1.1548387096774193</v>
      </c>
    </row>
    <row r="5" spans="1:17" x14ac:dyDescent="0.3">
      <c r="A5">
        <v>2</v>
      </c>
      <c r="B5">
        <v>396</v>
      </c>
      <c r="C5">
        <v>107</v>
      </c>
      <c r="D5">
        <f t="shared" ref="D5:D8" si="0">$C$8-C5</f>
        <v>129</v>
      </c>
      <c r="F5">
        <v>2</v>
      </c>
      <c r="G5">
        <v>714</v>
      </c>
      <c r="H5">
        <v>71</v>
      </c>
      <c r="I5">
        <f t="shared" ref="I5:I8" si="1">$H$8-H5</f>
        <v>154</v>
      </c>
      <c r="K5">
        <f t="shared" ref="K5:K7" si="2">I5/D5</f>
        <v>1.193798449612403</v>
      </c>
      <c r="N5">
        <v>1.1548387096774193</v>
      </c>
      <c r="O5">
        <v>1.193798449612403</v>
      </c>
      <c r="P5">
        <v>0.8867924528301887</v>
      </c>
      <c r="Q5">
        <v>1.2246376811594204</v>
      </c>
    </row>
    <row r="6" spans="1:17" x14ac:dyDescent="0.3">
      <c r="A6">
        <v>3</v>
      </c>
      <c r="B6">
        <v>396</v>
      </c>
      <c r="C6">
        <v>130</v>
      </c>
      <c r="D6">
        <f t="shared" si="0"/>
        <v>106</v>
      </c>
      <c r="F6">
        <v>3</v>
      </c>
      <c r="G6">
        <v>714</v>
      </c>
      <c r="H6">
        <v>131</v>
      </c>
      <c r="I6">
        <f t="shared" si="1"/>
        <v>94</v>
      </c>
      <c r="K6">
        <f t="shared" si="2"/>
        <v>0.8867924528301887</v>
      </c>
      <c r="N6">
        <v>0.97709923664122134</v>
      </c>
      <c r="O6">
        <v>0.96710526315789469</v>
      </c>
      <c r="P6">
        <v>0.93048128342245995</v>
      </c>
      <c r="Q6">
        <v>0.83589743589743593</v>
      </c>
    </row>
    <row r="7" spans="1:17" x14ac:dyDescent="0.3">
      <c r="A7">
        <v>4</v>
      </c>
      <c r="B7">
        <v>396</v>
      </c>
      <c r="C7">
        <v>98</v>
      </c>
      <c r="D7">
        <f t="shared" si="0"/>
        <v>138</v>
      </c>
      <c r="F7">
        <v>4</v>
      </c>
      <c r="G7">
        <v>714</v>
      </c>
      <c r="H7">
        <v>56</v>
      </c>
      <c r="I7">
        <f t="shared" si="1"/>
        <v>169</v>
      </c>
      <c r="K7">
        <f t="shared" si="2"/>
        <v>1.2246376811594204</v>
      </c>
      <c r="N7">
        <v>0.53012048192771088</v>
      </c>
      <c r="O7">
        <v>0.8571428571428571</v>
      </c>
      <c r="P7">
        <v>1.8428571428571427</v>
      </c>
      <c r="Q7">
        <v>0.61971830985915488</v>
      </c>
    </row>
    <row r="8" spans="1:17" x14ac:dyDescent="0.3">
      <c r="A8">
        <v>5</v>
      </c>
      <c r="B8">
        <v>396</v>
      </c>
      <c r="C8">
        <v>236</v>
      </c>
      <c r="D8">
        <f t="shared" si="0"/>
        <v>0</v>
      </c>
      <c r="F8">
        <v>5</v>
      </c>
      <c r="G8">
        <v>714</v>
      </c>
      <c r="H8">
        <v>225</v>
      </c>
      <c r="I8">
        <f t="shared" si="1"/>
        <v>0</v>
      </c>
      <c r="M8" t="s">
        <v>69</v>
      </c>
      <c r="N8">
        <f>AVERAGE(N5:N7)</f>
        <v>0.88735280941545047</v>
      </c>
    </row>
    <row r="10" spans="1:17" x14ac:dyDescent="0.3">
      <c r="A10" t="s">
        <v>71</v>
      </c>
      <c r="F10" t="s">
        <v>10</v>
      </c>
    </row>
    <row r="11" spans="1:17" x14ac:dyDescent="0.3">
      <c r="A11">
        <v>1</v>
      </c>
      <c r="B11">
        <v>430</v>
      </c>
      <c r="C11">
        <v>95</v>
      </c>
      <c r="D11">
        <f>$C$15-C11</f>
        <v>131</v>
      </c>
      <c r="F11">
        <v>1</v>
      </c>
      <c r="G11">
        <v>320</v>
      </c>
      <c r="H11">
        <v>85</v>
      </c>
      <c r="I11">
        <f>$H$15-H11</f>
        <v>128</v>
      </c>
      <c r="K11">
        <f>I11/D11</f>
        <v>0.97709923664122134</v>
      </c>
      <c r="N11">
        <f>N5/$N$8</f>
        <v>1.3014425574853106</v>
      </c>
      <c r="O11">
        <f t="shared" ref="O11:Q11" si="3">O5/$N$8</f>
        <v>1.3453481376802374</v>
      </c>
      <c r="P11">
        <f t="shared" si="3"/>
        <v>0.99936850756619466</v>
      </c>
      <c r="Q11">
        <f t="shared" si="3"/>
        <v>1.3801023315248853</v>
      </c>
    </row>
    <row r="12" spans="1:17" x14ac:dyDescent="0.3">
      <c r="A12">
        <v>2</v>
      </c>
      <c r="B12">
        <v>430</v>
      </c>
      <c r="C12">
        <v>74</v>
      </c>
      <c r="D12">
        <f t="shared" ref="D12:D15" si="4">$C$15-C12</f>
        <v>152</v>
      </c>
      <c r="F12">
        <v>2</v>
      </c>
      <c r="G12">
        <v>320</v>
      </c>
      <c r="H12">
        <v>66</v>
      </c>
      <c r="I12">
        <f t="shared" ref="I12:I15" si="5">$H$15-H12</f>
        <v>147</v>
      </c>
      <c r="K12">
        <f t="shared" ref="K12:K14" si="6">I12/D12</f>
        <v>0.96710526315789469</v>
      </c>
      <c r="N12">
        <f t="shared" ref="N12:Q12" si="7">N6/$N$8</f>
        <v>1.1011395087427422</v>
      </c>
      <c r="O12">
        <f t="shared" si="7"/>
        <v>1.089876825650647</v>
      </c>
      <c r="P12">
        <f t="shared" si="7"/>
        <v>1.0486035244937362</v>
      </c>
      <c r="Q12">
        <f t="shared" si="7"/>
        <v>0.94201249720287572</v>
      </c>
    </row>
    <row r="13" spans="1:17" x14ac:dyDescent="0.3">
      <c r="A13">
        <v>3</v>
      </c>
      <c r="B13">
        <v>430</v>
      </c>
      <c r="C13">
        <v>39</v>
      </c>
      <c r="D13">
        <f t="shared" si="4"/>
        <v>187</v>
      </c>
      <c r="F13">
        <v>3</v>
      </c>
      <c r="G13">
        <v>320</v>
      </c>
      <c r="H13">
        <v>39</v>
      </c>
      <c r="I13">
        <f t="shared" si="5"/>
        <v>174</v>
      </c>
      <c r="K13">
        <f t="shared" si="6"/>
        <v>0.93048128342245995</v>
      </c>
      <c r="N13">
        <f t="shared" ref="N13:Q13" si="8">N7/$N$8</f>
        <v>0.59741793377194718</v>
      </c>
      <c r="O13">
        <f t="shared" si="8"/>
        <v>0.96595497083905735</v>
      </c>
      <c r="P13">
        <f t="shared" si="8"/>
        <v>2.0768031873039732</v>
      </c>
      <c r="Q13">
        <f t="shared" si="8"/>
        <v>0.69838997891650156</v>
      </c>
    </row>
    <row r="14" spans="1:17" x14ac:dyDescent="0.3">
      <c r="A14">
        <v>4</v>
      </c>
      <c r="B14">
        <v>430</v>
      </c>
      <c r="C14">
        <v>31</v>
      </c>
      <c r="D14">
        <f t="shared" si="4"/>
        <v>195</v>
      </c>
      <c r="F14">
        <v>4</v>
      </c>
      <c r="G14">
        <v>320</v>
      </c>
      <c r="H14">
        <v>50</v>
      </c>
      <c r="I14">
        <f t="shared" si="5"/>
        <v>163</v>
      </c>
      <c r="K14">
        <f t="shared" si="6"/>
        <v>0.83589743589743593</v>
      </c>
    </row>
    <row r="15" spans="1:17" x14ac:dyDescent="0.3">
      <c r="A15">
        <v>5</v>
      </c>
      <c r="B15">
        <v>430</v>
      </c>
      <c r="C15">
        <v>226</v>
      </c>
      <c r="D15">
        <f t="shared" si="4"/>
        <v>0</v>
      </c>
      <c r="F15">
        <v>5</v>
      </c>
      <c r="G15">
        <v>320</v>
      </c>
      <c r="H15">
        <v>213</v>
      </c>
      <c r="I15">
        <f t="shared" si="5"/>
        <v>0</v>
      </c>
    </row>
    <row r="17" spans="1:22" x14ac:dyDescent="0.3">
      <c r="A17" t="s">
        <v>71</v>
      </c>
      <c r="F17" t="s">
        <v>10</v>
      </c>
    </row>
    <row r="18" spans="1:22" x14ac:dyDescent="0.3">
      <c r="A18">
        <v>1</v>
      </c>
      <c r="B18">
        <v>390</v>
      </c>
      <c r="C18">
        <v>84</v>
      </c>
      <c r="D18">
        <f>$C$22-C18</f>
        <v>166</v>
      </c>
      <c r="F18">
        <v>1</v>
      </c>
      <c r="G18">
        <v>246</v>
      </c>
      <c r="H18">
        <v>153</v>
      </c>
      <c r="I18">
        <f>$H$22-H18</f>
        <v>88</v>
      </c>
      <c r="K18">
        <f>I18/D18</f>
        <v>0.53012048192771088</v>
      </c>
    </row>
    <row r="19" spans="1:22" x14ac:dyDescent="0.3">
      <c r="A19">
        <v>2</v>
      </c>
      <c r="B19">
        <v>390</v>
      </c>
      <c r="C19">
        <v>117</v>
      </c>
      <c r="D19">
        <f t="shared" ref="D19:D22" si="9">$C$22-C19</f>
        <v>133</v>
      </c>
      <c r="F19">
        <v>2</v>
      </c>
      <c r="G19">
        <v>246</v>
      </c>
      <c r="H19">
        <v>127</v>
      </c>
      <c r="I19">
        <f t="shared" ref="I19:I22" si="10">$H$22-H19</f>
        <v>114</v>
      </c>
      <c r="K19">
        <f t="shared" ref="K19:K21" si="11">I19/D19</f>
        <v>0.8571428571428571</v>
      </c>
    </row>
    <row r="20" spans="1:22" x14ac:dyDescent="0.3">
      <c r="A20">
        <v>3</v>
      </c>
      <c r="B20">
        <v>390</v>
      </c>
      <c r="C20">
        <v>180</v>
      </c>
      <c r="D20">
        <f t="shared" si="9"/>
        <v>70</v>
      </c>
      <c r="F20">
        <v>3</v>
      </c>
      <c r="G20">
        <v>246</v>
      </c>
      <c r="H20">
        <v>112</v>
      </c>
      <c r="I20">
        <f t="shared" si="10"/>
        <v>129</v>
      </c>
      <c r="K20">
        <f t="shared" si="11"/>
        <v>1.8428571428571427</v>
      </c>
    </row>
    <row r="21" spans="1:22" x14ac:dyDescent="0.3">
      <c r="A21">
        <v>4</v>
      </c>
      <c r="B21">
        <v>390</v>
      </c>
      <c r="C21">
        <v>179</v>
      </c>
      <c r="D21">
        <f t="shared" si="9"/>
        <v>71</v>
      </c>
      <c r="F21">
        <v>4</v>
      </c>
      <c r="G21">
        <v>246</v>
      </c>
      <c r="H21">
        <v>197</v>
      </c>
      <c r="I21">
        <f t="shared" si="10"/>
        <v>44</v>
      </c>
      <c r="K21">
        <f t="shared" si="11"/>
        <v>0.61971830985915488</v>
      </c>
    </row>
    <row r="22" spans="1:22" x14ac:dyDescent="0.3">
      <c r="A22">
        <v>5</v>
      </c>
      <c r="B22">
        <v>390</v>
      </c>
      <c r="C22">
        <v>250</v>
      </c>
      <c r="D22">
        <f t="shared" si="9"/>
        <v>0</v>
      </c>
      <c r="F22">
        <v>5</v>
      </c>
      <c r="G22">
        <v>246</v>
      </c>
      <c r="H22">
        <v>241</v>
      </c>
      <c r="I22">
        <f t="shared" si="10"/>
        <v>0</v>
      </c>
    </row>
    <row r="26" spans="1:22" x14ac:dyDescent="0.3">
      <c r="A26" t="s">
        <v>71</v>
      </c>
      <c r="F26" t="s">
        <v>3</v>
      </c>
      <c r="J26" s="18"/>
      <c r="K26" s="18"/>
      <c r="L26" s="18"/>
      <c r="M26" s="18"/>
      <c r="R26" s="5"/>
    </row>
    <row r="27" spans="1:22" ht="15.6" x14ac:dyDescent="0.3">
      <c r="A27">
        <v>1</v>
      </c>
      <c r="B27">
        <v>418</v>
      </c>
      <c r="C27">
        <v>67</v>
      </c>
      <c r="D27">
        <f>$C$31-C27</f>
        <v>158</v>
      </c>
      <c r="F27">
        <v>1</v>
      </c>
      <c r="G27">
        <v>333</v>
      </c>
      <c r="H27">
        <v>159</v>
      </c>
      <c r="I27">
        <f>$H$31-H27</f>
        <v>42</v>
      </c>
      <c r="K27">
        <f>I27/D27</f>
        <v>0.26582278481012656</v>
      </c>
      <c r="R27" s="5"/>
      <c r="S27" s="17" t="s">
        <v>9</v>
      </c>
      <c r="T27" s="17" t="s">
        <v>56</v>
      </c>
      <c r="U27" s="17" t="s">
        <v>67</v>
      </c>
      <c r="V27" s="17" t="s">
        <v>68</v>
      </c>
    </row>
    <row r="28" spans="1:22" ht="15.6" x14ac:dyDescent="0.3">
      <c r="A28">
        <v>2</v>
      </c>
      <c r="B28">
        <v>418</v>
      </c>
      <c r="C28">
        <v>125</v>
      </c>
      <c r="D28">
        <f t="shared" ref="D28:D31" si="12">$C$31-C28</f>
        <v>100</v>
      </c>
      <c r="F28">
        <v>2</v>
      </c>
      <c r="G28">
        <v>333</v>
      </c>
      <c r="H28">
        <v>139</v>
      </c>
      <c r="I28">
        <f t="shared" ref="I28:I31" si="13">$H$31-H28</f>
        <v>62</v>
      </c>
      <c r="K28">
        <f t="shared" ref="K28:K37" si="14">I28/D28</f>
        <v>0.62</v>
      </c>
      <c r="N28">
        <v>0.26582278481012656</v>
      </c>
      <c r="O28">
        <v>0.62</v>
      </c>
      <c r="P28">
        <v>0.35714285714285715</v>
      </c>
      <c r="Q28">
        <v>0.58522727272727271</v>
      </c>
      <c r="R28" s="5"/>
      <c r="S28" s="17">
        <v>0.17703349282296652</v>
      </c>
      <c r="T28" s="17">
        <v>0.35172413793103446</v>
      </c>
      <c r="U28" s="17">
        <v>0.30882352941176472</v>
      </c>
      <c r="V28" s="17">
        <v>0.39269406392694062</v>
      </c>
    </row>
    <row r="29" spans="1:22" ht="15.6" x14ac:dyDescent="0.3">
      <c r="A29">
        <v>3</v>
      </c>
      <c r="B29">
        <v>418</v>
      </c>
      <c r="C29">
        <v>183</v>
      </c>
      <c r="D29">
        <f t="shared" si="12"/>
        <v>42</v>
      </c>
      <c r="F29">
        <v>3</v>
      </c>
      <c r="G29">
        <v>333</v>
      </c>
      <c r="H29">
        <v>186</v>
      </c>
      <c r="I29">
        <f t="shared" si="13"/>
        <v>15</v>
      </c>
      <c r="K29">
        <f t="shared" si="14"/>
        <v>0.35714285714285715</v>
      </c>
      <c r="N29">
        <v>0.48854961832061067</v>
      </c>
      <c r="O29">
        <v>1.013157894736842</v>
      </c>
      <c r="P29">
        <v>0.75401069518716579</v>
      </c>
      <c r="Q29">
        <v>0.92307692307692313</v>
      </c>
      <c r="R29" s="5"/>
      <c r="S29" s="17">
        <v>4.0322580645161289E-2</v>
      </c>
      <c r="T29" s="17">
        <v>0.10743801652892562</v>
      </c>
      <c r="U29" s="17">
        <v>0.16666666666666666</v>
      </c>
      <c r="V29" s="17">
        <v>0.24786324786324787</v>
      </c>
    </row>
    <row r="30" spans="1:22" ht="15.6" x14ac:dyDescent="0.3">
      <c r="A30">
        <v>4</v>
      </c>
      <c r="B30">
        <v>418</v>
      </c>
      <c r="C30">
        <v>49</v>
      </c>
      <c r="D30">
        <f t="shared" si="12"/>
        <v>176</v>
      </c>
      <c r="F30">
        <v>4</v>
      </c>
      <c r="G30">
        <v>333</v>
      </c>
      <c r="H30">
        <v>98</v>
      </c>
      <c r="I30">
        <f t="shared" si="13"/>
        <v>103</v>
      </c>
      <c r="K30">
        <f t="shared" si="14"/>
        <v>0.58522727272727271</v>
      </c>
      <c r="N30">
        <v>1</v>
      </c>
      <c r="O30">
        <v>0.79850746268656714</v>
      </c>
      <c r="P30">
        <v>1.5671641791044777</v>
      </c>
      <c r="Q30">
        <v>0.79611650485436891</v>
      </c>
      <c r="R30" s="5"/>
      <c r="S30" s="17">
        <v>0.25257731958762886</v>
      </c>
      <c r="T30" s="17">
        <v>0.26256983240223464</v>
      </c>
      <c r="U30" s="17">
        <v>0.51162790697674421</v>
      </c>
      <c r="V30" s="17">
        <v>0.74747474747474751</v>
      </c>
    </row>
    <row r="31" spans="1:22" x14ac:dyDescent="0.3">
      <c r="A31">
        <v>5</v>
      </c>
      <c r="B31">
        <v>418</v>
      </c>
      <c r="C31">
        <v>225</v>
      </c>
      <c r="D31">
        <f t="shared" si="12"/>
        <v>0</v>
      </c>
      <c r="F31">
        <v>5</v>
      </c>
      <c r="G31">
        <v>333</v>
      </c>
      <c r="H31">
        <v>201</v>
      </c>
      <c r="I31">
        <f t="shared" si="13"/>
        <v>0</v>
      </c>
      <c r="M31" t="s">
        <v>69</v>
      </c>
      <c r="N31">
        <f>AVERAGE(N28:N30)</f>
        <v>0.58479080104357906</v>
      </c>
      <c r="R31" s="5"/>
      <c r="S31">
        <f>AVERAGE(S28:S30)</f>
        <v>0.15664446435191889</v>
      </c>
    </row>
    <row r="32" spans="1:22" x14ac:dyDescent="0.3">
      <c r="R32" s="5"/>
    </row>
    <row r="33" spans="1:22" x14ac:dyDescent="0.3">
      <c r="A33" t="s">
        <v>71</v>
      </c>
      <c r="F33" t="s">
        <v>3</v>
      </c>
      <c r="R33" s="5"/>
    </row>
    <row r="34" spans="1:22" x14ac:dyDescent="0.3">
      <c r="A34">
        <v>1</v>
      </c>
      <c r="B34">
        <v>430</v>
      </c>
      <c r="C34">
        <v>95</v>
      </c>
      <c r="D34">
        <f>$C$38-C34</f>
        <v>131</v>
      </c>
      <c r="F34">
        <v>1</v>
      </c>
      <c r="G34">
        <v>222</v>
      </c>
      <c r="H34">
        <v>165</v>
      </c>
      <c r="I34">
        <f>$H$38-H34</f>
        <v>64</v>
      </c>
      <c r="K34">
        <f t="shared" si="14"/>
        <v>0.48854961832061067</v>
      </c>
      <c r="N34">
        <f>N28/$N$31</f>
        <v>0.45456047587574355</v>
      </c>
      <c r="O34">
        <f t="shared" ref="O34:Q34" si="15">O28/$N$31</f>
        <v>1.0602081956378058</v>
      </c>
      <c r="P34">
        <f t="shared" si="15"/>
        <v>0.61071900670380519</v>
      </c>
      <c r="Q34">
        <f t="shared" si="15"/>
        <v>1.0007463723487353</v>
      </c>
      <c r="R34" s="5"/>
      <c r="S34">
        <f>S28/$S$31</f>
        <v>1.1301611809609911</v>
      </c>
      <c r="T34">
        <f t="shared" ref="T34:V34" si="16">T28/$S$31</f>
        <v>2.245365895221473</v>
      </c>
      <c r="U34">
        <f t="shared" si="16"/>
        <v>1.9714934114617606</v>
      </c>
      <c r="V34">
        <f t="shared" si="16"/>
        <v>2.5069131268163458</v>
      </c>
    </row>
    <row r="35" spans="1:22" x14ac:dyDescent="0.3">
      <c r="A35">
        <v>2</v>
      </c>
      <c r="B35">
        <v>430</v>
      </c>
      <c r="C35">
        <v>74</v>
      </c>
      <c r="D35">
        <f t="shared" ref="D35:D38" si="17">$C$38-C35</f>
        <v>152</v>
      </c>
      <c r="F35">
        <v>2</v>
      </c>
      <c r="G35">
        <v>222</v>
      </c>
      <c r="H35">
        <v>75</v>
      </c>
      <c r="I35">
        <f t="shared" ref="I35:I37" si="18">$H$38-H35</f>
        <v>154</v>
      </c>
      <c r="K35">
        <f t="shared" si="14"/>
        <v>1.013157894736842</v>
      </c>
      <c r="N35">
        <f t="shared" ref="N35:Q36" si="19">N29/$N$31</f>
        <v>0.83542630535360218</v>
      </c>
      <c r="O35">
        <f t="shared" si="19"/>
        <v>1.7325133927018472</v>
      </c>
      <c r="P35">
        <f t="shared" si="19"/>
        <v>1.2893682558645041</v>
      </c>
      <c r="Q35">
        <f t="shared" si="19"/>
        <v>1.578473740403681</v>
      </c>
      <c r="R35" s="5"/>
      <c r="S35">
        <f t="shared" ref="S35:V35" si="20">S29/$S$31</f>
        <v>0.25741465433832511</v>
      </c>
      <c r="T35">
        <f t="shared" si="20"/>
        <v>0.6858717732121985</v>
      </c>
      <c r="U35">
        <f t="shared" si="20"/>
        <v>1.0639805712650769</v>
      </c>
      <c r="V35">
        <f t="shared" si="20"/>
        <v>1.5823300803429352</v>
      </c>
    </row>
    <row r="36" spans="1:22" x14ac:dyDescent="0.3">
      <c r="A36">
        <v>3</v>
      </c>
      <c r="B36">
        <v>430</v>
      </c>
      <c r="C36">
        <v>39</v>
      </c>
      <c r="D36">
        <f t="shared" si="17"/>
        <v>187</v>
      </c>
      <c r="F36">
        <v>3</v>
      </c>
      <c r="G36">
        <v>222</v>
      </c>
      <c r="H36">
        <v>88</v>
      </c>
      <c r="I36">
        <f t="shared" si="18"/>
        <v>141</v>
      </c>
      <c r="K36">
        <f t="shared" si="14"/>
        <v>0.75401069518716579</v>
      </c>
      <c r="N36">
        <f t="shared" si="19"/>
        <v>1.7100132187706545</v>
      </c>
      <c r="O36">
        <f t="shared" si="19"/>
        <v>1.365458316481045</v>
      </c>
      <c r="P36">
        <f t="shared" si="19"/>
        <v>2.6798714622525184</v>
      </c>
      <c r="Q36">
        <f t="shared" si="19"/>
        <v>1.3613697469824626</v>
      </c>
      <c r="R36" s="5"/>
      <c r="S36">
        <f t="shared" ref="S36:V36" si="21">S30/$S$31</f>
        <v>1.6124241647006838</v>
      </c>
      <c r="T36">
        <f t="shared" si="21"/>
        <v>1.6762152016578309</v>
      </c>
      <c r="U36">
        <f t="shared" si="21"/>
        <v>3.266172916441632</v>
      </c>
      <c r="V36">
        <f t="shared" si="21"/>
        <v>4.7717916529464066</v>
      </c>
    </row>
    <row r="37" spans="1:22" x14ac:dyDescent="0.3">
      <c r="A37">
        <v>4</v>
      </c>
      <c r="B37">
        <v>430</v>
      </c>
      <c r="C37">
        <v>31</v>
      </c>
      <c r="D37">
        <f t="shared" si="17"/>
        <v>195</v>
      </c>
      <c r="F37">
        <v>4</v>
      </c>
      <c r="G37">
        <v>222</v>
      </c>
      <c r="H37">
        <v>49</v>
      </c>
      <c r="I37">
        <f t="shared" si="18"/>
        <v>180</v>
      </c>
      <c r="K37">
        <f t="shared" si="14"/>
        <v>0.92307692307692313</v>
      </c>
      <c r="R37" s="5"/>
    </row>
    <row r="38" spans="1:22" x14ac:dyDescent="0.3">
      <c r="A38">
        <v>5</v>
      </c>
      <c r="B38">
        <v>430</v>
      </c>
      <c r="C38">
        <v>226</v>
      </c>
      <c r="D38">
        <f t="shared" si="17"/>
        <v>0</v>
      </c>
      <c r="F38">
        <v>5</v>
      </c>
      <c r="G38">
        <v>222</v>
      </c>
      <c r="H38">
        <v>229</v>
      </c>
      <c r="I38">
        <f>$H$38-H38</f>
        <v>0</v>
      </c>
      <c r="R38" s="5"/>
    </row>
    <row r="39" spans="1:22" x14ac:dyDescent="0.3">
      <c r="R39" s="5"/>
    </row>
    <row r="40" spans="1:22" x14ac:dyDescent="0.3">
      <c r="A40" t="s">
        <v>71</v>
      </c>
      <c r="F40" t="s">
        <v>3</v>
      </c>
      <c r="R40" s="5"/>
    </row>
    <row r="41" spans="1:22" x14ac:dyDescent="0.3">
      <c r="A41">
        <v>1</v>
      </c>
      <c r="B41">
        <v>408</v>
      </c>
      <c r="C41">
        <v>118</v>
      </c>
      <c r="D41">
        <f>$C$45-C41</f>
        <v>102</v>
      </c>
      <c r="F41">
        <v>1</v>
      </c>
      <c r="G41">
        <v>429</v>
      </c>
      <c r="H41">
        <v>102</v>
      </c>
      <c r="I41">
        <f>$H$45-H41</f>
        <v>16</v>
      </c>
      <c r="K41">
        <f>H41/D41</f>
        <v>1</v>
      </c>
      <c r="R41" s="5"/>
    </row>
    <row r="42" spans="1:22" x14ac:dyDescent="0.3">
      <c r="A42">
        <v>2</v>
      </c>
      <c r="B42">
        <v>408</v>
      </c>
      <c r="C42">
        <v>86</v>
      </c>
      <c r="D42">
        <f t="shared" ref="D42:D45" si="22">$C$45-C42</f>
        <v>134</v>
      </c>
      <c r="F42">
        <v>2</v>
      </c>
      <c r="G42">
        <v>429</v>
      </c>
      <c r="H42">
        <v>107</v>
      </c>
      <c r="I42">
        <f t="shared" ref="I42:I45" si="23">$H$45-H42</f>
        <v>11</v>
      </c>
      <c r="K42">
        <f>H42/D42</f>
        <v>0.79850746268656714</v>
      </c>
      <c r="R42" s="5"/>
    </row>
    <row r="43" spans="1:22" x14ac:dyDescent="0.3">
      <c r="A43">
        <v>3</v>
      </c>
      <c r="B43">
        <v>408</v>
      </c>
      <c r="C43">
        <v>153</v>
      </c>
      <c r="D43">
        <f t="shared" si="22"/>
        <v>67</v>
      </c>
      <c r="F43">
        <v>3</v>
      </c>
      <c r="G43">
        <v>429</v>
      </c>
      <c r="H43">
        <v>105</v>
      </c>
      <c r="I43">
        <f t="shared" si="23"/>
        <v>13</v>
      </c>
      <c r="K43">
        <f>H43/D43</f>
        <v>1.5671641791044777</v>
      </c>
      <c r="R43" s="5"/>
    </row>
    <row r="44" spans="1:22" x14ac:dyDescent="0.3">
      <c r="A44">
        <v>4</v>
      </c>
      <c r="B44">
        <v>408</v>
      </c>
      <c r="C44">
        <v>117</v>
      </c>
      <c r="D44">
        <f t="shared" si="22"/>
        <v>103</v>
      </c>
      <c r="F44">
        <v>4</v>
      </c>
      <c r="G44">
        <v>429</v>
      </c>
      <c r="H44">
        <v>82</v>
      </c>
      <c r="I44">
        <f t="shared" si="23"/>
        <v>36</v>
      </c>
      <c r="K44">
        <f>H44/D44</f>
        <v>0.79611650485436891</v>
      </c>
      <c r="R44" s="5"/>
    </row>
    <row r="45" spans="1:22" x14ac:dyDescent="0.3">
      <c r="A45">
        <v>5</v>
      </c>
      <c r="B45">
        <v>408</v>
      </c>
      <c r="C45">
        <v>220</v>
      </c>
      <c r="D45">
        <f t="shared" si="22"/>
        <v>0</v>
      </c>
      <c r="F45">
        <v>5</v>
      </c>
      <c r="G45">
        <v>429</v>
      </c>
      <c r="H45">
        <v>118</v>
      </c>
      <c r="I45">
        <f t="shared" si="23"/>
        <v>0</v>
      </c>
      <c r="R45" s="5"/>
    </row>
    <row r="50" spans="22:25" x14ac:dyDescent="0.3">
      <c r="V50" s="21"/>
      <c r="W50" s="21"/>
      <c r="X50" s="21"/>
      <c r="Y50" s="21"/>
    </row>
    <row r="51" spans="22:25" x14ac:dyDescent="0.3">
      <c r="V51" s="10"/>
      <c r="W51" s="10"/>
      <c r="X51" s="10"/>
      <c r="Y51" s="10"/>
    </row>
    <row r="52" spans="22:25" x14ac:dyDescent="0.3">
      <c r="V52" s="10"/>
      <c r="W52" s="10"/>
      <c r="X52" s="10"/>
      <c r="Y52" s="10"/>
    </row>
    <row r="53" spans="22:25" x14ac:dyDescent="0.3">
      <c r="V53" s="10"/>
      <c r="W53" s="10"/>
      <c r="X53" s="10"/>
      <c r="Y53" s="10"/>
    </row>
    <row r="54" spans="22:25" x14ac:dyDescent="0.3">
      <c r="V54" s="10"/>
      <c r="W54" s="10"/>
      <c r="X54" s="10"/>
      <c r="Y54" s="10"/>
    </row>
    <row r="55" spans="22:25" x14ac:dyDescent="0.3">
      <c r="V55" s="10"/>
      <c r="W55" s="10"/>
      <c r="X55" s="10"/>
      <c r="Y55" s="10"/>
    </row>
  </sheetData>
  <mergeCells count="2">
    <mergeCell ref="V50:Y50"/>
    <mergeCell ref="J26:M2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757D-DE15-41FC-91AA-C035D5A4E134}">
  <dimension ref="A1:Z82"/>
  <sheetViews>
    <sheetView topLeftCell="A43" workbookViewId="0">
      <selection activeCell="A47" sqref="A47:L61"/>
    </sheetView>
  </sheetViews>
  <sheetFormatPr defaultRowHeight="14.4" x14ac:dyDescent="0.3"/>
  <sheetData>
    <row r="1" spans="1:22" x14ac:dyDescent="0.3">
      <c r="A1" s="18" t="s">
        <v>37</v>
      </c>
      <c r="B1" s="18"/>
    </row>
    <row r="2" spans="1:22" x14ac:dyDescent="0.3">
      <c r="A2" s="6" t="s">
        <v>9</v>
      </c>
      <c r="B2" s="6" t="s">
        <v>28</v>
      </c>
      <c r="C2" s="6" t="s">
        <v>29</v>
      </c>
      <c r="D2" s="6" t="s">
        <v>44</v>
      </c>
      <c r="E2" s="6" t="s">
        <v>30</v>
      </c>
      <c r="F2" s="6" t="s">
        <v>45</v>
      </c>
      <c r="G2" s="6" t="s">
        <v>31</v>
      </c>
      <c r="H2" s="6" t="s">
        <v>32</v>
      </c>
      <c r="I2" s="6" t="s">
        <v>33</v>
      </c>
      <c r="J2" s="6" t="s">
        <v>41</v>
      </c>
      <c r="K2" s="6" t="s">
        <v>35</v>
      </c>
      <c r="L2" s="6" t="s">
        <v>36</v>
      </c>
    </row>
    <row r="3" spans="1:22" x14ac:dyDescent="0.3">
      <c r="A3" s="4">
        <v>98.489058319999998</v>
      </c>
      <c r="B3" s="4">
        <v>104.806</v>
      </c>
      <c r="C3" s="4">
        <v>110.258</v>
      </c>
      <c r="D3" s="4">
        <v>103.054</v>
      </c>
      <c r="E3" s="4">
        <v>98.985600000000005</v>
      </c>
      <c r="F3" s="4">
        <v>101.703</v>
      </c>
      <c r="G3" s="4">
        <v>102.52</v>
      </c>
      <c r="H3" s="4">
        <v>103.724</v>
      </c>
      <c r="I3" s="4">
        <v>103.84399999999999</v>
      </c>
      <c r="J3" s="4">
        <v>97.392300000000006</v>
      </c>
      <c r="K3" s="4">
        <v>74.609200000000001</v>
      </c>
      <c r="L3" s="4">
        <v>26.13</v>
      </c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3">
      <c r="A4" s="4">
        <v>100.8877974</v>
      </c>
      <c r="B4" s="4">
        <v>101.98099999999999</v>
      </c>
      <c r="C4" s="4">
        <v>106.764</v>
      </c>
      <c r="D4" s="4">
        <v>100.86</v>
      </c>
      <c r="E4" s="4">
        <v>96.094200000000001</v>
      </c>
      <c r="F4" s="4">
        <v>94.084500000000006</v>
      </c>
      <c r="G4" s="4">
        <v>96.958299999999994</v>
      </c>
      <c r="H4" s="4">
        <v>100.872</v>
      </c>
      <c r="I4" s="4">
        <v>101.453</v>
      </c>
      <c r="J4" s="4">
        <v>97.953400000000002</v>
      </c>
      <c r="K4" s="4">
        <v>72.746099999999998</v>
      </c>
      <c r="L4" s="4">
        <v>40.067</v>
      </c>
    </row>
    <row r="5" spans="1:22" x14ac:dyDescent="0.3">
      <c r="A5" s="4">
        <v>99.634666370000005</v>
      </c>
      <c r="B5" s="4">
        <v>101.72499999999999</v>
      </c>
      <c r="C5" s="4">
        <v>109.11799999999999</v>
      </c>
      <c r="D5" s="4">
        <v>100.151</v>
      </c>
      <c r="E5" s="4">
        <v>93.480400000000003</v>
      </c>
      <c r="F5" s="4">
        <v>95.214500000000001</v>
      </c>
      <c r="G5" s="4">
        <v>97.087400000000002</v>
      </c>
      <c r="H5" s="4">
        <v>98.778400000000005</v>
      </c>
      <c r="I5" s="4">
        <v>101.339</v>
      </c>
      <c r="J5" s="4">
        <v>102.057</v>
      </c>
      <c r="K5" s="4">
        <v>75.854500000000002</v>
      </c>
      <c r="L5" s="4">
        <v>33.011499999999998</v>
      </c>
    </row>
    <row r="6" spans="1:22" x14ac:dyDescent="0.3">
      <c r="A6" s="4">
        <v>99.445035009999998</v>
      </c>
      <c r="B6" s="4">
        <v>100.39700000000001</v>
      </c>
      <c r="C6" s="4">
        <v>109.474</v>
      </c>
      <c r="D6" s="4">
        <v>101.756</v>
      </c>
      <c r="E6" s="4">
        <v>97.523300000000006</v>
      </c>
      <c r="F6" s="4">
        <v>97.613200000000006</v>
      </c>
      <c r="G6" s="4">
        <v>96.571200000000005</v>
      </c>
      <c r="H6" s="4">
        <v>98.8292</v>
      </c>
      <c r="I6" s="4">
        <v>102.19799999999999</v>
      </c>
      <c r="J6" s="4">
        <v>98.993399999999994</v>
      </c>
      <c r="K6" s="4">
        <v>56.412399999999998</v>
      </c>
      <c r="L6" s="4">
        <v>39.498100000000001</v>
      </c>
    </row>
    <row r="7" spans="1:22" x14ac:dyDescent="0.3">
      <c r="A7" s="4">
        <v>100.00806420000001</v>
      </c>
      <c r="B7" s="4">
        <v>101.316</v>
      </c>
      <c r="C7" s="4">
        <v>106.999</v>
      </c>
      <c r="D7" s="4">
        <v>100.97799999999999</v>
      </c>
      <c r="E7" s="4">
        <v>96.637699999999995</v>
      </c>
      <c r="F7" s="4">
        <v>95.855699999999999</v>
      </c>
      <c r="G7" s="4">
        <v>98.9602</v>
      </c>
      <c r="H7" s="4">
        <v>99.554500000000004</v>
      </c>
      <c r="I7" s="4">
        <v>104.68600000000001</v>
      </c>
      <c r="J7" s="4">
        <v>103.00700000000001</v>
      </c>
      <c r="K7" s="4">
        <v>44.614199999999997</v>
      </c>
      <c r="L7" s="4">
        <v>36.901899999999998</v>
      </c>
    </row>
    <row r="8" spans="1:22" x14ac:dyDescent="0.3">
      <c r="A8" s="4">
        <v>100.0608482</v>
      </c>
      <c r="B8" s="4">
        <v>105.173</v>
      </c>
      <c r="C8" s="4">
        <v>110.99299999999999</v>
      </c>
      <c r="D8" s="4">
        <v>101.66800000000001</v>
      </c>
      <c r="E8" s="4">
        <v>99.757800000000003</v>
      </c>
      <c r="F8" s="4">
        <v>98.180199999999999</v>
      </c>
      <c r="G8" s="4">
        <v>99.613200000000006</v>
      </c>
      <c r="H8" s="4">
        <v>102.04300000000001</v>
      </c>
      <c r="I8" s="4">
        <v>103.197</v>
      </c>
      <c r="J8" s="4">
        <v>92.733599999999996</v>
      </c>
      <c r="K8" s="4">
        <v>27.592300000000002</v>
      </c>
      <c r="L8" s="4">
        <v>36.534300000000002</v>
      </c>
    </row>
    <row r="9" spans="1:22" x14ac:dyDescent="0.3">
      <c r="A9" s="4">
        <v>100.99141040000001</v>
      </c>
      <c r="B9" s="4">
        <v>105.093</v>
      </c>
      <c r="C9" s="4">
        <v>112.485</v>
      </c>
      <c r="D9" s="4">
        <v>103.447</v>
      </c>
      <c r="E9" s="4">
        <v>101.492</v>
      </c>
      <c r="F9" s="4">
        <v>98.166499999999999</v>
      </c>
      <c r="G9" s="4">
        <v>98.749099999999999</v>
      </c>
      <c r="H9" s="4">
        <v>102.252</v>
      </c>
      <c r="I9" s="4">
        <v>104.27</v>
      </c>
      <c r="J9" s="4">
        <v>96.582999999999998</v>
      </c>
      <c r="K9" s="4">
        <v>56.181699999999999</v>
      </c>
      <c r="L9" s="4">
        <v>43.3337</v>
      </c>
    </row>
    <row r="10" spans="1:22" x14ac:dyDescent="0.3">
      <c r="A10" s="4">
        <v>100.48312009999999</v>
      </c>
      <c r="B10" s="4">
        <v>107.926</v>
      </c>
      <c r="C10" s="4">
        <v>108.551</v>
      </c>
      <c r="D10" s="4">
        <v>102.08</v>
      </c>
      <c r="E10" s="4">
        <v>103.81399999999999</v>
      </c>
      <c r="F10" s="4">
        <v>103.093</v>
      </c>
      <c r="G10" s="4">
        <v>104.536</v>
      </c>
      <c r="H10" s="4">
        <v>105.99</v>
      </c>
      <c r="I10" s="4">
        <v>104.729</v>
      </c>
      <c r="J10" s="4">
        <v>96.686599999999999</v>
      </c>
      <c r="K10" s="4">
        <v>24.083200000000001</v>
      </c>
      <c r="L10" s="4">
        <v>42.661200000000001</v>
      </c>
    </row>
    <row r="11" spans="1:22" x14ac:dyDescent="0.3">
      <c r="A11" s="4">
        <v>102.195594</v>
      </c>
      <c r="B11" s="4">
        <v>103.92100000000001</v>
      </c>
      <c r="C11" s="4">
        <v>104.2</v>
      </c>
      <c r="D11" s="4">
        <v>90.873699999999999</v>
      </c>
      <c r="E11" s="4">
        <v>105.855</v>
      </c>
      <c r="F11" s="4">
        <v>101.604</v>
      </c>
      <c r="G11" s="4">
        <v>108.636</v>
      </c>
      <c r="H11" s="4">
        <v>103.086</v>
      </c>
      <c r="I11" s="4">
        <v>106.666</v>
      </c>
      <c r="J11" s="4">
        <v>97.698400000000007</v>
      </c>
      <c r="K11" s="4">
        <v>15.3605</v>
      </c>
      <c r="L11" s="4">
        <v>15.5726</v>
      </c>
    </row>
    <row r="12" spans="1:22" x14ac:dyDescent="0.3">
      <c r="A12" s="4">
        <v>103.1818238</v>
      </c>
      <c r="B12" s="4">
        <v>101.212</v>
      </c>
      <c r="C12" s="4">
        <v>100.455</v>
      </c>
      <c r="D12" s="4">
        <v>90.878600000000006</v>
      </c>
      <c r="E12" s="4">
        <v>95.548400000000001</v>
      </c>
      <c r="F12" s="4">
        <v>97.020399999999995</v>
      </c>
      <c r="G12" s="4">
        <v>109.755</v>
      </c>
      <c r="H12" s="4">
        <v>99.623999999999995</v>
      </c>
      <c r="I12" s="4">
        <v>105.40300000000001</v>
      </c>
      <c r="J12" s="4">
        <v>97.779799999999994</v>
      </c>
      <c r="K12" s="4">
        <v>15.187900000000001</v>
      </c>
      <c r="L12" s="4">
        <v>15.501099999999999</v>
      </c>
    </row>
    <row r="13" spans="1:22" x14ac:dyDescent="0.3">
      <c r="A13" s="4">
        <v>100.05547540000001</v>
      </c>
      <c r="B13" s="4">
        <v>99.022400000000005</v>
      </c>
      <c r="C13" s="4">
        <v>98.4602</v>
      </c>
      <c r="D13" s="4">
        <v>89.803600000000003</v>
      </c>
      <c r="E13" s="4">
        <v>113.197</v>
      </c>
      <c r="F13" s="4">
        <v>100.627</v>
      </c>
      <c r="G13" s="4">
        <v>115.87</v>
      </c>
      <c r="H13" s="4">
        <v>95.913300000000007</v>
      </c>
      <c r="I13" s="4">
        <v>106.313</v>
      </c>
      <c r="J13" s="4">
        <v>101.155</v>
      </c>
      <c r="K13" s="4">
        <v>15.3383</v>
      </c>
      <c r="L13" s="4">
        <v>21.9633</v>
      </c>
    </row>
    <row r="14" spans="1:22" x14ac:dyDescent="0.3">
      <c r="A14" s="4">
        <v>94.542451029999995</v>
      </c>
      <c r="B14" s="4">
        <v>106.73</v>
      </c>
      <c r="C14" s="4">
        <v>102.077</v>
      </c>
      <c r="D14" s="4">
        <v>92.742599999999996</v>
      </c>
      <c r="E14" s="4">
        <v>100.827</v>
      </c>
      <c r="F14" s="4">
        <v>100.208</v>
      </c>
      <c r="G14" s="4">
        <v>104.41</v>
      </c>
      <c r="H14" s="4">
        <v>94.808700000000002</v>
      </c>
      <c r="I14" s="4">
        <v>110.86199999999999</v>
      </c>
      <c r="J14" s="4">
        <v>104.715</v>
      </c>
      <c r="K14" s="4">
        <v>21.5047</v>
      </c>
      <c r="L14" s="4">
        <v>21.909099999999999</v>
      </c>
    </row>
    <row r="15" spans="1:22" x14ac:dyDescent="0.3">
      <c r="A15" s="4">
        <v>98.738858690000001</v>
      </c>
      <c r="B15" s="4">
        <v>106.143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22" x14ac:dyDescent="0.3">
      <c r="A16" s="4">
        <v>101.2857971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22" x14ac:dyDescent="0.3">
      <c r="B17" s="4"/>
      <c r="C17" s="4"/>
      <c r="D17" s="4"/>
      <c r="E17" s="4"/>
      <c r="F17" s="4"/>
      <c r="G17" s="4"/>
      <c r="H17" s="4"/>
      <c r="I17" s="4"/>
      <c r="J17" s="4"/>
    </row>
    <row r="18" spans="1:22" x14ac:dyDescent="0.3">
      <c r="A18" s="8"/>
      <c r="B18" s="4"/>
      <c r="C18" s="4"/>
      <c r="D18" s="4"/>
      <c r="E18" s="4"/>
      <c r="F18" s="4"/>
      <c r="G18" s="4"/>
      <c r="H18" s="4"/>
      <c r="I18" s="4"/>
      <c r="J18" s="4"/>
    </row>
    <row r="19" spans="1:22" x14ac:dyDescent="0.3">
      <c r="A19" s="9" t="s">
        <v>42</v>
      </c>
      <c r="B19" s="9"/>
      <c r="C19" s="9"/>
      <c r="D19" s="9"/>
      <c r="E19" s="9"/>
      <c r="F19" s="9"/>
      <c r="G19" s="9"/>
      <c r="H19" s="9"/>
      <c r="I19" s="9"/>
      <c r="J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3">
      <c r="A20" s="6" t="s">
        <v>28</v>
      </c>
      <c r="B20" s="4">
        <v>104.806</v>
      </c>
      <c r="C20" s="4">
        <v>101.98099999999999</v>
      </c>
      <c r="D20" s="4">
        <v>101.72499999999999</v>
      </c>
      <c r="E20" s="4">
        <v>100.39700000000001</v>
      </c>
      <c r="F20" s="10">
        <f>AVERAGE(B20:E20)</f>
        <v>102.22724999999998</v>
      </c>
      <c r="H20" s="4">
        <v>101.316</v>
      </c>
      <c r="I20" s="4">
        <v>105.173</v>
      </c>
      <c r="J20" s="4">
        <v>105.093</v>
      </c>
      <c r="K20" s="4">
        <v>107.926</v>
      </c>
      <c r="L20" s="10">
        <f>AVERAGE(H20:K20)</f>
        <v>104.877</v>
      </c>
      <c r="N20" s="4">
        <v>103.92100000000001</v>
      </c>
      <c r="O20" s="4">
        <v>101.212</v>
      </c>
      <c r="P20" s="4">
        <v>99.022400000000005</v>
      </c>
      <c r="Q20" s="4">
        <v>106.73</v>
      </c>
      <c r="R20" s="4">
        <v>106.143</v>
      </c>
      <c r="S20" s="10">
        <f>AVERAGE(N20:R20)</f>
        <v>103.40568</v>
      </c>
    </row>
    <row r="21" spans="1:22" x14ac:dyDescent="0.3">
      <c r="A21" s="6" t="s">
        <v>29</v>
      </c>
      <c r="B21" s="4">
        <v>110.258</v>
      </c>
      <c r="C21" s="4">
        <v>106.764</v>
      </c>
      <c r="D21" s="4">
        <v>109.11799999999999</v>
      </c>
      <c r="E21" s="4">
        <v>109.474</v>
      </c>
      <c r="F21" s="10">
        <f t="shared" ref="F21:F30" si="0">AVERAGE(B21:E21)</f>
        <v>108.90349999999999</v>
      </c>
      <c r="H21" s="4">
        <v>106.999</v>
      </c>
      <c r="I21" s="4">
        <v>110.99299999999999</v>
      </c>
      <c r="J21" s="4">
        <v>112.485</v>
      </c>
      <c r="K21" s="4">
        <v>108.551</v>
      </c>
      <c r="L21" s="10">
        <f t="shared" ref="L21:L30" si="1">AVERAGE(H21:K21)</f>
        <v>109.75699999999999</v>
      </c>
      <c r="N21" s="4">
        <v>104.2</v>
      </c>
      <c r="O21" s="4">
        <v>100.455</v>
      </c>
      <c r="P21" s="4">
        <v>98.4602</v>
      </c>
      <c r="Q21" s="4">
        <v>102.077</v>
      </c>
      <c r="R21" s="4"/>
      <c r="S21" s="10">
        <f>AVERAGE(N21:Q21)</f>
        <v>101.29805</v>
      </c>
    </row>
    <row r="22" spans="1:22" x14ac:dyDescent="0.3">
      <c r="A22" s="6" t="s">
        <v>44</v>
      </c>
      <c r="B22" s="4">
        <v>103.054</v>
      </c>
      <c r="C22" s="4">
        <v>100.86</v>
      </c>
      <c r="D22" s="4">
        <v>100.151</v>
      </c>
      <c r="E22" s="4">
        <v>101.756</v>
      </c>
      <c r="F22" s="10">
        <f t="shared" si="0"/>
        <v>101.45525000000001</v>
      </c>
      <c r="H22" s="4">
        <v>100.97799999999999</v>
      </c>
      <c r="I22" s="4">
        <v>101.66800000000001</v>
      </c>
      <c r="J22" s="4">
        <v>103.447</v>
      </c>
      <c r="K22" s="4">
        <v>102.08</v>
      </c>
      <c r="L22" s="10">
        <f t="shared" si="1"/>
        <v>102.04325</v>
      </c>
      <c r="N22" s="4">
        <v>90.873699999999999</v>
      </c>
      <c r="O22" s="4">
        <v>90.878600000000006</v>
      </c>
      <c r="P22" s="4">
        <v>89.803600000000003</v>
      </c>
      <c r="Q22" s="4">
        <v>92.742599999999996</v>
      </c>
      <c r="R22" s="4"/>
      <c r="S22" s="10">
        <f t="shared" ref="S22:S30" si="2">AVERAGE(N22:Q22)</f>
        <v>91.074624999999997</v>
      </c>
    </row>
    <row r="23" spans="1:22" x14ac:dyDescent="0.3">
      <c r="A23" s="6" t="s">
        <v>30</v>
      </c>
      <c r="B23" s="4">
        <v>98.985600000000005</v>
      </c>
      <c r="C23" s="4">
        <v>96.094200000000001</v>
      </c>
      <c r="D23" s="4">
        <v>93.480400000000003</v>
      </c>
      <c r="E23" s="4">
        <v>97.523300000000006</v>
      </c>
      <c r="F23" s="10">
        <f t="shared" si="0"/>
        <v>96.520875000000004</v>
      </c>
      <c r="H23" s="4">
        <v>96.637699999999995</v>
      </c>
      <c r="I23" s="4">
        <v>99.757800000000003</v>
      </c>
      <c r="J23" s="4">
        <v>101.492</v>
      </c>
      <c r="K23" s="4">
        <v>103.81399999999999</v>
      </c>
      <c r="L23" s="10">
        <f t="shared" si="1"/>
        <v>100.425375</v>
      </c>
      <c r="N23" s="4">
        <v>105.855</v>
      </c>
      <c r="O23" s="4">
        <v>95.548400000000001</v>
      </c>
      <c r="P23" s="4">
        <v>113.197</v>
      </c>
      <c r="Q23" s="4">
        <v>100.827</v>
      </c>
      <c r="R23" s="4"/>
      <c r="S23" s="10">
        <f t="shared" si="2"/>
        <v>103.85685000000001</v>
      </c>
    </row>
    <row r="24" spans="1:22" x14ac:dyDescent="0.3">
      <c r="A24" s="6" t="s">
        <v>45</v>
      </c>
      <c r="B24" s="4">
        <v>101.703</v>
      </c>
      <c r="C24" s="4">
        <v>94.084500000000006</v>
      </c>
      <c r="D24" s="4">
        <v>95.214500000000001</v>
      </c>
      <c r="E24" s="4">
        <v>97.613200000000006</v>
      </c>
      <c r="F24" s="10">
        <f t="shared" si="0"/>
        <v>97.153800000000004</v>
      </c>
      <c r="H24" s="4">
        <v>95.855699999999999</v>
      </c>
      <c r="I24" s="4">
        <v>98.180199999999999</v>
      </c>
      <c r="J24" s="4">
        <v>98.166499999999999</v>
      </c>
      <c r="K24" s="4">
        <v>103.093</v>
      </c>
      <c r="L24" s="10">
        <f t="shared" si="1"/>
        <v>98.823850000000007</v>
      </c>
      <c r="N24" s="4">
        <v>101.604</v>
      </c>
      <c r="O24" s="4">
        <v>97.020399999999995</v>
      </c>
      <c r="P24" s="4">
        <v>100.627</v>
      </c>
      <c r="Q24" s="4">
        <v>100.208</v>
      </c>
      <c r="R24" s="4"/>
      <c r="S24" s="10">
        <f t="shared" si="2"/>
        <v>99.86484999999999</v>
      </c>
    </row>
    <row r="25" spans="1:22" x14ac:dyDescent="0.3">
      <c r="A25" s="6" t="s">
        <v>31</v>
      </c>
      <c r="B25" s="4">
        <v>102.52</v>
      </c>
      <c r="C25" s="4">
        <v>96.958299999999994</v>
      </c>
      <c r="D25" s="4">
        <v>97.087400000000002</v>
      </c>
      <c r="E25" s="4">
        <v>96.571200000000005</v>
      </c>
      <c r="F25" s="10">
        <f t="shared" si="0"/>
        <v>98.284224999999992</v>
      </c>
      <c r="H25" s="4">
        <v>98.9602</v>
      </c>
      <c r="I25" s="4">
        <v>99.613200000000006</v>
      </c>
      <c r="J25" s="4">
        <v>98.749099999999999</v>
      </c>
      <c r="K25" s="4">
        <v>104.536</v>
      </c>
      <c r="L25" s="10">
        <f t="shared" si="1"/>
        <v>100.464625</v>
      </c>
      <c r="N25" s="4">
        <v>108.636</v>
      </c>
      <c r="O25" s="4">
        <v>109.755</v>
      </c>
      <c r="P25" s="4"/>
      <c r="Q25" s="4">
        <v>104.41</v>
      </c>
      <c r="R25" s="4"/>
      <c r="S25" s="10">
        <f t="shared" si="2"/>
        <v>107.60033333333332</v>
      </c>
    </row>
    <row r="26" spans="1:22" x14ac:dyDescent="0.3">
      <c r="A26" s="6" t="s">
        <v>32</v>
      </c>
      <c r="B26" s="4">
        <v>103.724</v>
      </c>
      <c r="C26" s="4">
        <v>100.872</v>
      </c>
      <c r="D26" s="4">
        <v>98.778400000000005</v>
      </c>
      <c r="E26" s="4">
        <v>98.8292</v>
      </c>
      <c r="F26" s="10">
        <f t="shared" si="0"/>
        <v>100.55090000000001</v>
      </c>
      <c r="H26" s="4">
        <v>99.554500000000004</v>
      </c>
      <c r="I26" s="4">
        <v>102.04300000000001</v>
      </c>
      <c r="J26" s="4">
        <v>102.252</v>
      </c>
      <c r="K26" s="4">
        <v>105.99</v>
      </c>
      <c r="L26" s="10">
        <f t="shared" si="1"/>
        <v>102.45987500000001</v>
      </c>
      <c r="N26" s="4">
        <v>103.086</v>
      </c>
      <c r="O26" s="4">
        <v>99.623999999999995</v>
      </c>
      <c r="P26" s="4">
        <v>95.913300000000007</v>
      </c>
      <c r="Q26" s="4">
        <v>94.808700000000002</v>
      </c>
      <c r="R26" s="4"/>
      <c r="S26" s="10">
        <f t="shared" si="2"/>
        <v>98.35799999999999</v>
      </c>
    </row>
    <row r="27" spans="1:22" x14ac:dyDescent="0.3">
      <c r="A27" s="6" t="s">
        <v>33</v>
      </c>
      <c r="B27" s="4">
        <v>103.84399999999999</v>
      </c>
      <c r="C27" s="4">
        <v>101.453</v>
      </c>
      <c r="D27" s="4">
        <v>101.339</v>
      </c>
      <c r="E27" s="4">
        <v>102.19799999999999</v>
      </c>
      <c r="F27" s="10">
        <f t="shared" si="0"/>
        <v>102.20849999999999</v>
      </c>
      <c r="H27" s="4">
        <v>104.68600000000001</v>
      </c>
      <c r="I27" s="4">
        <v>103.197</v>
      </c>
      <c r="J27" s="4">
        <v>104.27</v>
      </c>
      <c r="K27" s="4">
        <v>104.729</v>
      </c>
      <c r="L27" s="10">
        <f t="shared" si="1"/>
        <v>104.2205</v>
      </c>
      <c r="N27" s="4">
        <v>106.666</v>
      </c>
      <c r="O27" s="4">
        <v>105.40300000000001</v>
      </c>
      <c r="P27" s="4">
        <v>106.313</v>
      </c>
      <c r="Q27" s="4">
        <v>110.86199999999999</v>
      </c>
      <c r="R27" s="4"/>
      <c r="S27" s="10">
        <f t="shared" si="2"/>
        <v>107.31100000000001</v>
      </c>
    </row>
    <row r="28" spans="1:22" x14ac:dyDescent="0.3">
      <c r="A28" s="6" t="s">
        <v>41</v>
      </c>
      <c r="B28" s="4">
        <v>97.392300000000006</v>
      </c>
      <c r="C28" s="4">
        <v>97.953400000000002</v>
      </c>
      <c r="D28" s="4">
        <v>102.057</v>
      </c>
      <c r="E28" s="4">
        <v>98.993399999999994</v>
      </c>
      <c r="F28" s="10">
        <f t="shared" si="0"/>
        <v>99.099025000000012</v>
      </c>
      <c r="H28" s="4">
        <v>103.00700000000001</v>
      </c>
      <c r="I28" s="4">
        <v>92.733599999999996</v>
      </c>
      <c r="J28" s="4">
        <v>96.582999999999998</v>
      </c>
      <c r="K28" s="4">
        <v>96.686599999999999</v>
      </c>
      <c r="L28" s="10">
        <f t="shared" si="1"/>
        <v>97.252549999999999</v>
      </c>
      <c r="N28" s="4">
        <v>97.698400000000007</v>
      </c>
      <c r="O28" s="4">
        <v>97.779799999999994</v>
      </c>
      <c r="P28" s="4">
        <v>101.155</v>
      </c>
      <c r="Q28" s="4">
        <v>104.715</v>
      </c>
      <c r="R28" s="4"/>
      <c r="S28" s="10">
        <f t="shared" si="2"/>
        <v>100.33705</v>
      </c>
    </row>
    <row r="29" spans="1:22" x14ac:dyDescent="0.3">
      <c r="A29" s="6" t="s">
        <v>35</v>
      </c>
      <c r="B29" s="4">
        <v>74.609200000000001</v>
      </c>
      <c r="C29" s="4">
        <v>72.746099999999998</v>
      </c>
      <c r="D29" s="4">
        <v>75.854500000000002</v>
      </c>
      <c r="E29" s="4">
        <v>56.412399999999998</v>
      </c>
      <c r="F29" s="10">
        <f t="shared" si="0"/>
        <v>69.905550000000005</v>
      </c>
      <c r="H29" s="4">
        <v>44.614199999999997</v>
      </c>
      <c r="I29" s="4">
        <v>27.592300000000002</v>
      </c>
      <c r="J29" s="4">
        <v>56.181699999999999</v>
      </c>
      <c r="K29" s="4">
        <v>24.083200000000001</v>
      </c>
      <c r="L29" s="10">
        <f t="shared" si="1"/>
        <v>38.117850000000004</v>
      </c>
      <c r="N29" s="4">
        <v>15.3605</v>
      </c>
      <c r="O29" s="4">
        <v>15.187900000000001</v>
      </c>
      <c r="P29" s="4">
        <v>15.3383</v>
      </c>
      <c r="Q29" s="4">
        <v>21.5047</v>
      </c>
      <c r="R29" s="4"/>
      <c r="S29" s="10">
        <f t="shared" si="2"/>
        <v>16.847850000000001</v>
      </c>
    </row>
    <row r="30" spans="1:22" x14ac:dyDescent="0.3">
      <c r="A30" s="6" t="s">
        <v>36</v>
      </c>
      <c r="B30" s="4">
        <v>26.13</v>
      </c>
      <c r="C30" s="4">
        <v>40.067</v>
      </c>
      <c r="D30" s="4">
        <v>33.011499999999998</v>
      </c>
      <c r="E30" s="4">
        <v>39.498100000000001</v>
      </c>
      <c r="F30" s="10">
        <f t="shared" si="0"/>
        <v>34.676650000000002</v>
      </c>
      <c r="H30" s="4">
        <v>36.901899999999998</v>
      </c>
      <c r="I30" s="4">
        <v>36.534300000000002</v>
      </c>
      <c r="J30" s="4">
        <v>43.3337</v>
      </c>
      <c r="K30" s="4">
        <v>42.661200000000001</v>
      </c>
      <c r="L30" s="10">
        <f t="shared" si="1"/>
        <v>39.857775000000004</v>
      </c>
      <c r="N30" s="4">
        <v>15.5726</v>
      </c>
      <c r="O30" s="4">
        <v>15.501099999999999</v>
      </c>
      <c r="P30" s="4">
        <v>21.9633</v>
      </c>
      <c r="Q30" s="4">
        <v>21.909099999999999</v>
      </c>
      <c r="R30" s="4"/>
      <c r="S30" s="10">
        <f t="shared" si="2"/>
        <v>18.736525</v>
      </c>
    </row>
    <row r="31" spans="1:22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22" x14ac:dyDescent="0.3">
      <c r="A32" s="8"/>
      <c r="B32" s="8"/>
      <c r="C32" s="8"/>
      <c r="D32" s="8"/>
      <c r="E32" s="8"/>
      <c r="F32" s="8" t="s">
        <v>1</v>
      </c>
      <c r="G32" s="8" t="s">
        <v>2</v>
      </c>
      <c r="H32" s="8" t="s">
        <v>17</v>
      </c>
      <c r="I32" s="8"/>
      <c r="J32" s="8"/>
    </row>
    <row r="33" spans="1:26" x14ac:dyDescent="0.3">
      <c r="A33" s="8"/>
      <c r="B33" s="8"/>
      <c r="C33" s="8"/>
      <c r="D33" s="8"/>
      <c r="E33" s="6">
        <v>5.0000000000000001E-4</v>
      </c>
      <c r="F33" s="8">
        <v>102.22724999999998</v>
      </c>
      <c r="G33" s="8">
        <v>104.877</v>
      </c>
      <c r="H33" s="8">
        <v>103.40568</v>
      </c>
      <c r="I33" s="8"/>
      <c r="J33" s="8"/>
    </row>
    <row r="34" spans="1:26" x14ac:dyDescent="0.3">
      <c r="A34" s="8"/>
      <c r="B34" s="8"/>
      <c r="C34" s="8"/>
      <c r="D34" s="8"/>
      <c r="E34" s="6">
        <v>1E-3</v>
      </c>
      <c r="F34" s="8">
        <v>108.90349999999999</v>
      </c>
      <c r="G34" s="8">
        <v>109.75699999999999</v>
      </c>
      <c r="H34" s="8">
        <v>101.29805</v>
      </c>
      <c r="I34" s="8"/>
      <c r="J34" s="8"/>
    </row>
    <row r="35" spans="1:26" x14ac:dyDescent="0.3">
      <c r="A35" s="8"/>
      <c r="B35" s="8"/>
      <c r="C35" s="8"/>
      <c r="D35" s="8"/>
      <c r="E35" s="6">
        <v>4.0000000000000001E-3</v>
      </c>
      <c r="F35" s="8">
        <v>101.45525000000001</v>
      </c>
      <c r="G35" s="8">
        <v>102.04325</v>
      </c>
      <c r="H35" s="8">
        <v>91.074624999999997</v>
      </c>
      <c r="I35" s="8"/>
      <c r="J35" s="8"/>
    </row>
    <row r="36" spans="1:26" x14ac:dyDescent="0.3">
      <c r="E36" s="6">
        <v>1.6E-2</v>
      </c>
      <c r="F36">
        <v>96.520875000000004</v>
      </c>
      <c r="G36">
        <v>100.425375</v>
      </c>
      <c r="H36">
        <v>103.85685000000001</v>
      </c>
    </row>
    <row r="37" spans="1:26" x14ac:dyDescent="0.3">
      <c r="E37" s="6">
        <v>3.2000000000000001E-2</v>
      </c>
      <c r="F37">
        <v>97.153800000000004</v>
      </c>
      <c r="G37">
        <v>98.823850000000007</v>
      </c>
      <c r="H37">
        <v>99.86484999999999</v>
      </c>
      <c r="M37" s="8"/>
      <c r="N37" s="8"/>
      <c r="O37" s="8"/>
      <c r="P37" s="8"/>
      <c r="Q37" s="8"/>
      <c r="R37" s="10"/>
    </row>
    <row r="38" spans="1:26" x14ac:dyDescent="0.3">
      <c r="E38" s="6">
        <v>0.25600000000000001</v>
      </c>
      <c r="F38">
        <v>98.284224999999992</v>
      </c>
      <c r="G38">
        <v>100.464625</v>
      </c>
      <c r="H38">
        <v>107.60033333333332</v>
      </c>
      <c r="M38" s="8"/>
      <c r="N38" s="8"/>
      <c r="O38" s="8"/>
      <c r="P38" s="8"/>
      <c r="Q38" s="8"/>
      <c r="R38" s="10"/>
    </row>
    <row r="39" spans="1:26" x14ac:dyDescent="0.3">
      <c r="E39" s="6">
        <v>8.1999999999999993</v>
      </c>
      <c r="F39">
        <v>100.55090000000001</v>
      </c>
      <c r="G39">
        <v>102.45987500000001</v>
      </c>
      <c r="H39">
        <v>98.35799999999999</v>
      </c>
      <c r="M39" s="8"/>
      <c r="N39" s="8"/>
      <c r="O39" s="8"/>
      <c r="P39" s="8"/>
      <c r="Q39" s="8"/>
      <c r="R39" s="10"/>
    </row>
    <row r="40" spans="1:26" x14ac:dyDescent="0.3">
      <c r="E40" s="6">
        <v>131.1</v>
      </c>
      <c r="F40">
        <v>102.20849999999999</v>
      </c>
      <c r="G40">
        <v>104.2205</v>
      </c>
      <c r="H40">
        <v>107.31100000000001</v>
      </c>
      <c r="M40" s="8"/>
      <c r="N40" s="8"/>
      <c r="O40" s="8"/>
      <c r="P40" s="8"/>
      <c r="Q40" s="8"/>
      <c r="R40" s="10"/>
    </row>
    <row r="41" spans="1:26" x14ac:dyDescent="0.3">
      <c r="E41" s="6">
        <v>262.10000000000002</v>
      </c>
      <c r="F41">
        <v>99.099025000000012</v>
      </c>
      <c r="G41">
        <v>97.252549999999999</v>
      </c>
      <c r="H41">
        <v>100.33705</v>
      </c>
      <c r="M41" s="8"/>
      <c r="N41" s="8"/>
      <c r="O41" s="8"/>
      <c r="P41" s="8"/>
      <c r="Q41" s="8"/>
      <c r="R41" s="10"/>
    </row>
    <row r="42" spans="1:26" x14ac:dyDescent="0.3">
      <c r="E42" s="6">
        <v>1048.5999999999999</v>
      </c>
      <c r="F42">
        <v>69.905550000000005</v>
      </c>
      <c r="G42">
        <v>38.117850000000004</v>
      </c>
      <c r="H42">
        <v>16.847850000000001</v>
      </c>
      <c r="M42" s="8"/>
      <c r="N42" s="8"/>
      <c r="O42" s="8"/>
      <c r="P42" s="8"/>
      <c r="Q42" s="8"/>
      <c r="R42" s="10"/>
    </row>
    <row r="43" spans="1:26" x14ac:dyDescent="0.3">
      <c r="E43" s="6">
        <v>2097.3000000000002</v>
      </c>
      <c r="F43">
        <v>34.676650000000002</v>
      </c>
      <c r="G43">
        <v>39.857775000000004</v>
      </c>
      <c r="H43">
        <v>18.736525</v>
      </c>
      <c r="M43" s="8"/>
      <c r="N43" s="8"/>
      <c r="O43" s="8"/>
      <c r="P43" s="8"/>
      <c r="Q43" s="8"/>
      <c r="R43" s="10"/>
    </row>
    <row r="44" spans="1:26" x14ac:dyDescent="0.3">
      <c r="M44" s="8"/>
      <c r="N44" s="8"/>
      <c r="O44" s="8"/>
      <c r="P44" s="8"/>
      <c r="Q44" s="8"/>
      <c r="R44" s="10"/>
    </row>
    <row r="45" spans="1:26" x14ac:dyDescent="0.3">
      <c r="M45" s="8"/>
      <c r="N45" s="8"/>
      <c r="O45" s="8"/>
      <c r="P45" s="8"/>
      <c r="Q45" s="8"/>
      <c r="R45" s="10"/>
    </row>
    <row r="46" spans="1:26" x14ac:dyDescent="0.3">
      <c r="A46" s="18" t="s">
        <v>18</v>
      </c>
      <c r="B46" s="18"/>
      <c r="M46" s="8"/>
      <c r="N46" s="8"/>
      <c r="O46" s="8"/>
      <c r="P46" s="8"/>
      <c r="Q46" s="8"/>
      <c r="R46" s="10"/>
    </row>
    <row r="47" spans="1:26" x14ac:dyDescent="0.3">
      <c r="A47" s="9" t="s">
        <v>19</v>
      </c>
      <c r="B47" s="9" t="s">
        <v>20</v>
      </c>
      <c r="C47" s="9" t="s">
        <v>21</v>
      </c>
      <c r="D47" s="9" t="s">
        <v>38</v>
      </c>
      <c r="E47" s="9" t="s">
        <v>22</v>
      </c>
      <c r="F47" s="9" t="s">
        <v>40</v>
      </c>
      <c r="G47" s="9" t="s">
        <v>23</v>
      </c>
      <c r="H47" s="9" t="s">
        <v>24</v>
      </c>
      <c r="I47" s="9" t="s">
        <v>25</v>
      </c>
      <c r="J47" s="9" t="s">
        <v>46</v>
      </c>
      <c r="K47" s="9" t="s">
        <v>26</v>
      </c>
      <c r="L47" s="9" t="s">
        <v>27</v>
      </c>
      <c r="O47" s="9" t="s">
        <v>19</v>
      </c>
      <c r="P47" s="9" t="s">
        <v>20</v>
      </c>
      <c r="Q47" s="9" t="s">
        <v>21</v>
      </c>
      <c r="R47" s="9" t="s">
        <v>38</v>
      </c>
      <c r="S47" s="9" t="s">
        <v>22</v>
      </c>
      <c r="T47" s="9" t="s">
        <v>40</v>
      </c>
      <c r="U47" s="9" t="s">
        <v>23</v>
      </c>
      <c r="V47" s="9" t="s">
        <v>24</v>
      </c>
      <c r="W47" s="9" t="s">
        <v>25</v>
      </c>
      <c r="X47" s="9" t="s">
        <v>46</v>
      </c>
      <c r="Y47" s="9" t="s">
        <v>26</v>
      </c>
      <c r="Z47" s="9" t="s">
        <v>27</v>
      </c>
    </row>
    <row r="48" spans="1:26" x14ac:dyDescent="0.3">
      <c r="A48" s="8">
        <v>106.2595903</v>
      </c>
      <c r="B48" s="8">
        <v>113.074</v>
      </c>
      <c r="C48" s="8">
        <v>118.95699999999999</v>
      </c>
      <c r="D48" s="8">
        <v>111.185</v>
      </c>
      <c r="E48" s="8">
        <v>106.795</v>
      </c>
      <c r="F48" s="8">
        <v>109.727</v>
      </c>
      <c r="G48" s="8">
        <v>110.60899999999999</v>
      </c>
      <c r="H48" s="8">
        <v>111.908</v>
      </c>
      <c r="I48" s="8">
        <v>112.03700000000001</v>
      </c>
      <c r="J48" s="8">
        <v>105.07599999999999</v>
      </c>
      <c r="K48" s="8">
        <v>80.495699999999999</v>
      </c>
      <c r="L48" s="8">
        <v>28.191600000000001</v>
      </c>
      <c r="O48" s="8">
        <f>LOG10(A48)</f>
        <v>2.0263681370885664</v>
      </c>
      <c r="P48" s="8">
        <f t="shared" ref="P48:Z60" si="3">LOG10(B48)</f>
        <v>2.053362755636154</v>
      </c>
      <c r="Q48" s="8">
        <f t="shared" si="3"/>
        <v>2.0753900030939718</v>
      </c>
      <c r="R48" s="8">
        <f t="shared" si="3"/>
        <v>2.0460462004057534</v>
      </c>
      <c r="S48" s="8">
        <f t="shared" si="3"/>
        <v>2.0285509200779175</v>
      </c>
      <c r="T48" s="8">
        <f t="shared" si="3"/>
        <v>2.0403135054983084</v>
      </c>
      <c r="U48" s="8">
        <f t="shared" si="3"/>
        <v>2.0437904659498174</v>
      </c>
      <c r="V48" s="8">
        <f t="shared" si="3"/>
        <v>2.0488611341750533</v>
      </c>
      <c r="W48" s="8">
        <f t="shared" si="3"/>
        <v>2.0493614712610531</v>
      </c>
      <c r="X48" s="8">
        <f t="shared" si="3"/>
        <v>2.0215035318434542</v>
      </c>
      <c r="Y48" s="8">
        <f t="shared" si="3"/>
        <v>1.9057726814094786</v>
      </c>
      <c r="Z48" s="8">
        <f t="shared" si="3"/>
        <v>1.4501197247347504</v>
      </c>
    </row>
    <row r="49" spans="1:26" x14ac:dyDescent="0.3">
      <c r="A49" s="8">
        <v>108.84758359999999</v>
      </c>
      <c r="B49" s="8">
        <v>110.027</v>
      </c>
      <c r="C49" s="8">
        <v>115.188</v>
      </c>
      <c r="D49" s="8">
        <v>108.818</v>
      </c>
      <c r="E49" s="8">
        <v>103.676</v>
      </c>
      <c r="F49" s="8">
        <v>101.508</v>
      </c>
      <c r="G49" s="8">
        <v>104.608</v>
      </c>
      <c r="H49" s="8">
        <v>108.831</v>
      </c>
      <c r="I49" s="8">
        <v>109.45699999999999</v>
      </c>
      <c r="J49" s="8">
        <v>105.682</v>
      </c>
      <c r="K49" s="8">
        <v>78.485600000000005</v>
      </c>
      <c r="L49" s="8">
        <v>43.228099999999998</v>
      </c>
      <c r="O49" s="8">
        <f t="shared" ref="O49:O61" si="4">LOG10(A49)</f>
        <v>2.0368187922118897</v>
      </c>
      <c r="P49" s="8">
        <f t="shared" si="3"/>
        <v>2.0414992716323419</v>
      </c>
      <c r="Q49" s="8">
        <f t="shared" si="3"/>
        <v>2.0614072377222996</v>
      </c>
      <c r="R49" s="8">
        <f t="shared" si="3"/>
        <v>2.0367007396093473</v>
      </c>
      <c r="S49" s="8">
        <f t="shared" si="3"/>
        <v>2.0156782330149552</v>
      </c>
      <c r="T49" s="8">
        <f t="shared" si="3"/>
        <v>2.006500271007281</v>
      </c>
      <c r="U49" s="8">
        <f t="shared" si="3"/>
        <v>2.019564898900275</v>
      </c>
      <c r="V49" s="8">
        <f t="shared" si="3"/>
        <v>2.0367526197307488</v>
      </c>
      <c r="W49" s="8">
        <f t="shared" si="3"/>
        <v>2.0392435408163503</v>
      </c>
      <c r="X49" s="8">
        <f t="shared" si="3"/>
        <v>2.0240010235764259</v>
      </c>
      <c r="Y49" s="8">
        <f t="shared" si="3"/>
        <v>1.8947899826788803</v>
      </c>
      <c r="Z49" s="8">
        <f t="shared" si="3"/>
        <v>1.6357661474547847</v>
      </c>
    </row>
    <row r="50" spans="1:26" x14ac:dyDescent="0.3">
      <c r="A50" s="8">
        <v>107.4955839</v>
      </c>
      <c r="B50" s="8">
        <v>109.75</v>
      </c>
      <c r="C50" s="8">
        <v>117.727</v>
      </c>
      <c r="D50" s="8">
        <v>108.05200000000001</v>
      </c>
      <c r="E50" s="8">
        <v>100.85599999999999</v>
      </c>
      <c r="F50" s="8">
        <v>102.727</v>
      </c>
      <c r="G50" s="8">
        <v>104.747</v>
      </c>
      <c r="H50" s="8">
        <v>106.572</v>
      </c>
      <c r="I50" s="8">
        <v>109.33499999999999</v>
      </c>
      <c r="J50" s="8">
        <v>110.10899999999999</v>
      </c>
      <c r="K50" s="8">
        <v>81.839200000000005</v>
      </c>
      <c r="L50" s="8">
        <v>35.616</v>
      </c>
      <c r="O50" s="8">
        <f t="shared" si="4"/>
        <v>2.0313906230678471</v>
      </c>
      <c r="P50" s="8">
        <f t="shared" si="3"/>
        <v>2.0404045289141588</v>
      </c>
      <c r="Q50" s="8">
        <f t="shared" si="3"/>
        <v>2.0708760771702774</v>
      </c>
      <c r="R50" s="8">
        <f t="shared" si="3"/>
        <v>2.0336328099136161</v>
      </c>
      <c r="S50" s="8">
        <f t="shared" si="3"/>
        <v>2.0037017398257335</v>
      </c>
      <c r="T50" s="8">
        <f t="shared" si="3"/>
        <v>2.0116846053294646</v>
      </c>
      <c r="U50" s="8">
        <f t="shared" si="3"/>
        <v>2.0201415934320979</v>
      </c>
      <c r="V50" s="8">
        <f t="shared" si="3"/>
        <v>2.0276431161089086</v>
      </c>
      <c r="W50" s="8">
        <f t="shared" si="3"/>
        <v>2.0387592092842692</v>
      </c>
      <c r="X50" s="8">
        <f t="shared" si="3"/>
        <v>2.0418228184321672</v>
      </c>
      <c r="Y50" s="8">
        <f t="shared" si="3"/>
        <v>1.912961375380501</v>
      </c>
      <c r="Z50" s="8">
        <f t="shared" si="3"/>
        <v>1.5516451426546143</v>
      </c>
    </row>
    <row r="51" spans="1:26" x14ac:dyDescent="0.3">
      <c r="A51" s="8">
        <v>107.2909911</v>
      </c>
      <c r="B51" s="8">
        <v>108.318</v>
      </c>
      <c r="C51" s="8">
        <v>118.111</v>
      </c>
      <c r="D51" s="8">
        <v>109.78400000000001</v>
      </c>
      <c r="E51" s="8">
        <v>105.218</v>
      </c>
      <c r="F51" s="8">
        <v>105.315</v>
      </c>
      <c r="G51" s="8">
        <v>104.19</v>
      </c>
      <c r="H51" s="8">
        <v>106.627</v>
      </c>
      <c r="I51" s="8">
        <v>110.261</v>
      </c>
      <c r="J51" s="8">
        <v>106.804</v>
      </c>
      <c r="K51" s="8">
        <v>60.863199999999999</v>
      </c>
      <c r="L51" s="8">
        <v>42.614400000000003</v>
      </c>
      <c r="O51" s="8">
        <f t="shared" si="4"/>
        <v>2.0305632571028154</v>
      </c>
      <c r="P51" s="8">
        <f t="shared" si="3"/>
        <v>2.0347006325358379</v>
      </c>
      <c r="Q51" s="8">
        <f t="shared" si="3"/>
        <v>2.0722903465282934</v>
      </c>
      <c r="R51" s="8">
        <f t="shared" si="3"/>
        <v>2.0405390503322791</v>
      </c>
      <c r="S51" s="8">
        <f t="shared" si="3"/>
        <v>2.0220900424029868</v>
      </c>
      <c r="T51" s="8">
        <f t="shared" si="3"/>
        <v>2.0224902320903562</v>
      </c>
      <c r="U51" s="8">
        <f t="shared" si="3"/>
        <v>2.0178260380304249</v>
      </c>
      <c r="V51" s="8">
        <f t="shared" si="3"/>
        <v>2.0278671903028265</v>
      </c>
      <c r="W51" s="8">
        <f t="shared" si="3"/>
        <v>2.0424219269471005</v>
      </c>
      <c r="X51" s="8">
        <f t="shared" si="3"/>
        <v>2.0285875180988766</v>
      </c>
      <c r="Y51" s="8">
        <f t="shared" si="3"/>
        <v>1.7843547824915413</v>
      </c>
      <c r="Z51" s="8">
        <f t="shared" si="3"/>
        <v>1.6295563780649351</v>
      </c>
    </row>
    <row r="52" spans="1:26" x14ac:dyDescent="0.3">
      <c r="A52" s="8">
        <v>107.8984418</v>
      </c>
      <c r="B52" s="8">
        <v>109.309</v>
      </c>
      <c r="C52" s="8">
        <v>115.441</v>
      </c>
      <c r="D52" s="8">
        <v>108.94499999999999</v>
      </c>
      <c r="E52" s="8">
        <v>104.262</v>
      </c>
      <c r="F52" s="8">
        <v>103.41800000000001</v>
      </c>
      <c r="G52" s="8">
        <v>106.768</v>
      </c>
      <c r="H52" s="8">
        <v>107.40900000000001</v>
      </c>
      <c r="I52" s="8">
        <v>112.946</v>
      </c>
      <c r="J52" s="8">
        <v>111.134</v>
      </c>
      <c r="K52" s="8">
        <v>48.134099999999997</v>
      </c>
      <c r="L52" s="8">
        <v>39.813299999999998</v>
      </c>
      <c r="O52" s="8">
        <f t="shared" si="4"/>
        <v>2.0330151729262096</v>
      </c>
      <c r="P52" s="8">
        <f t="shared" si="3"/>
        <v>2.0386559212307875</v>
      </c>
      <c r="Q52" s="8">
        <f t="shared" si="3"/>
        <v>2.0623600801488551</v>
      </c>
      <c r="R52" s="8">
        <f t="shared" si="3"/>
        <v>2.0372073032170763</v>
      </c>
      <c r="S52" s="8">
        <f t="shared" si="3"/>
        <v>2.0181260515005812</v>
      </c>
      <c r="T52" s="8">
        <f t="shared" si="3"/>
        <v>2.0145961346992247</v>
      </c>
      <c r="U52" s="8">
        <f t="shared" si="3"/>
        <v>2.0284411075066959</v>
      </c>
      <c r="V52" s="8">
        <f t="shared" si="3"/>
        <v>2.0310406732310975</v>
      </c>
      <c r="W52" s="8">
        <f t="shared" si="3"/>
        <v>2.0528708549227082</v>
      </c>
      <c r="X52" s="8">
        <f t="shared" si="3"/>
        <v>2.0458469460103523</v>
      </c>
      <c r="Y52" s="8">
        <f t="shared" si="3"/>
        <v>1.6824528558917515</v>
      </c>
      <c r="Z52" s="8">
        <f t="shared" si="3"/>
        <v>1.6000281763882445</v>
      </c>
    </row>
    <row r="53" spans="1:26" x14ac:dyDescent="0.3">
      <c r="A53" s="8">
        <v>107.9553903</v>
      </c>
      <c r="B53" s="8">
        <v>113.471</v>
      </c>
      <c r="C53" s="8">
        <v>119.75</v>
      </c>
      <c r="D53" s="8">
        <v>109.68899999999999</v>
      </c>
      <c r="E53" s="8">
        <v>107.628</v>
      </c>
      <c r="F53" s="8">
        <v>105.926</v>
      </c>
      <c r="G53" s="8">
        <v>107.47199999999999</v>
      </c>
      <c r="H53" s="8">
        <v>110.09399999999999</v>
      </c>
      <c r="I53" s="8">
        <v>111.339</v>
      </c>
      <c r="J53" s="8">
        <v>100.05</v>
      </c>
      <c r="K53" s="8">
        <v>29.769300000000001</v>
      </c>
      <c r="L53" s="8">
        <v>39.416800000000002</v>
      </c>
      <c r="O53" s="8">
        <f t="shared" si="4"/>
        <v>2.0332443318865661</v>
      </c>
      <c r="P53" s="8">
        <f t="shared" si="3"/>
        <v>2.0548848822406534</v>
      </c>
      <c r="Q53" s="8">
        <f t="shared" si="3"/>
        <v>2.0782755220866007</v>
      </c>
      <c r="R53" s="8">
        <f t="shared" si="3"/>
        <v>2.0401630771751473</v>
      </c>
      <c r="S53" s="8">
        <f t="shared" si="3"/>
        <v>2.0319252700625232</v>
      </c>
      <c r="T53" s="8">
        <f t="shared" si="3"/>
        <v>2.0250025726723844</v>
      </c>
      <c r="U53" s="8">
        <f t="shared" si="3"/>
        <v>2.0312953309546176</v>
      </c>
      <c r="V53" s="8">
        <f t="shared" si="3"/>
        <v>2.0417636510526251</v>
      </c>
      <c r="W53" s="8">
        <f t="shared" si="3"/>
        <v>2.0466473163383325</v>
      </c>
      <c r="X53" s="8">
        <f t="shared" si="3"/>
        <v>2.00021709297223</v>
      </c>
      <c r="Y53" s="8">
        <f t="shared" si="3"/>
        <v>1.4737686226980675</v>
      </c>
      <c r="Z53" s="8">
        <f t="shared" si="3"/>
        <v>1.5956813637599454</v>
      </c>
    </row>
    <row r="54" spans="1:26" x14ac:dyDescent="0.3">
      <c r="A54" s="8">
        <v>108.9593715</v>
      </c>
      <c r="B54" s="8">
        <v>113.384</v>
      </c>
      <c r="C54" s="8">
        <v>121.35899999999999</v>
      </c>
      <c r="D54" s="8">
        <v>111.60899999999999</v>
      </c>
      <c r="E54" s="8">
        <v>109.499</v>
      </c>
      <c r="F54" s="8">
        <v>105.91200000000001</v>
      </c>
      <c r="G54" s="8">
        <v>106.54</v>
      </c>
      <c r="H54" s="8">
        <v>110.32</v>
      </c>
      <c r="I54" s="8">
        <v>112.497</v>
      </c>
      <c r="J54" s="8">
        <v>104.203</v>
      </c>
      <c r="K54" s="8">
        <v>60.6143</v>
      </c>
      <c r="L54" s="8">
        <v>46.752600000000001</v>
      </c>
      <c r="O54" s="8">
        <f t="shared" si="4"/>
        <v>2.0372645894762988</v>
      </c>
      <c r="P54" s="8">
        <f t="shared" si="3"/>
        <v>2.0545517741162747</v>
      </c>
      <c r="Q54" s="8">
        <f t="shared" si="3"/>
        <v>2.0840719892003023</v>
      </c>
      <c r="R54" s="8">
        <f t="shared" si="3"/>
        <v>2.0476992169379287</v>
      </c>
      <c r="S54" s="8">
        <f t="shared" si="3"/>
        <v>2.0394101529983746</v>
      </c>
      <c r="T54" s="8">
        <f t="shared" si="3"/>
        <v>2.0249451691587987</v>
      </c>
      <c r="U54" s="8">
        <f t="shared" si="3"/>
        <v>2.0275126924488109</v>
      </c>
      <c r="V54" s="8">
        <f t="shared" si="3"/>
        <v>2.0426542531677931</v>
      </c>
      <c r="W54" s="8">
        <f t="shared" si="3"/>
        <v>2.0511409411067785</v>
      </c>
      <c r="X54" s="8">
        <f t="shared" si="3"/>
        <v>2.0178802224634151</v>
      </c>
      <c r="Y54" s="8">
        <f t="shared" si="3"/>
        <v>1.7825750941078695</v>
      </c>
      <c r="Z54" s="8">
        <f t="shared" si="3"/>
        <v>1.6698057678129186</v>
      </c>
    </row>
    <row r="55" spans="1:26" x14ac:dyDescent="0.3">
      <c r="A55" s="8">
        <v>108.4109784</v>
      </c>
      <c r="B55" s="8">
        <v>116.441</v>
      </c>
      <c r="C55" s="8">
        <v>117.116</v>
      </c>
      <c r="D55" s="8">
        <v>110.134</v>
      </c>
      <c r="E55" s="8">
        <v>112.005</v>
      </c>
      <c r="F55" s="8">
        <v>111.227</v>
      </c>
      <c r="G55" s="8">
        <v>112.783</v>
      </c>
      <c r="H55" s="8">
        <v>114.35299999999999</v>
      </c>
      <c r="I55" s="8">
        <v>112.992</v>
      </c>
      <c r="J55" s="8">
        <v>104.315</v>
      </c>
      <c r="K55" s="8">
        <v>25.9833</v>
      </c>
      <c r="L55" s="8">
        <v>46.027099999999997</v>
      </c>
      <c r="O55" s="8">
        <f t="shared" si="4"/>
        <v>2.0350732639101157</v>
      </c>
      <c r="P55" s="8">
        <f t="shared" si="3"/>
        <v>2.0661059265212995</v>
      </c>
      <c r="Q55" s="8">
        <f t="shared" si="3"/>
        <v>2.0686162309992109</v>
      </c>
      <c r="R55" s="8">
        <f t="shared" si="3"/>
        <v>2.0419214128219476</v>
      </c>
      <c r="S55" s="8">
        <f t="shared" si="3"/>
        <v>2.0492374103839368</v>
      </c>
      <c r="T55" s="8">
        <f t="shared" si="3"/>
        <v>2.0462102236460171</v>
      </c>
      <c r="U55" s="8">
        <f t="shared" si="3"/>
        <v>2.0522436425321477</v>
      </c>
      <c r="V55" s="8">
        <f t="shared" si="3"/>
        <v>2.0582475626144356</v>
      </c>
      <c r="W55" s="8">
        <f t="shared" si="3"/>
        <v>2.0530476958830031</v>
      </c>
      <c r="X55" s="8">
        <f t="shared" si="3"/>
        <v>2.0183467623942684</v>
      </c>
      <c r="Y55" s="8">
        <f t="shared" si="3"/>
        <v>1.4146943076598992</v>
      </c>
      <c r="Z55" s="8">
        <f t="shared" si="3"/>
        <v>1.6630136124418018</v>
      </c>
    </row>
    <row r="56" spans="1:26" x14ac:dyDescent="0.3">
      <c r="A56" s="8">
        <v>105.3656429</v>
      </c>
      <c r="B56" s="8">
        <v>107.145</v>
      </c>
      <c r="C56" s="8">
        <v>107.432</v>
      </c>
      <c r="D56" s="8">
        <v>93.692499999999995</v>
      </c>
      <c r="E56" s="8">
        <v>109.13800000000001</v>
      </c>
      <c r="F56" s="8">
        <v>104.756</v>
      </c>
      <c r="G56" s="8">
        <v>112.005</v>
      </c>
      <c r="H56" s="8">
        <v>106.283</v>
      </c>
      <c r="I56" s="8">
        <v>109.974</v>
      </c>
      <c r="J56" s="8">
        <v>100.729</v>
      </c>
      <c r="K56" s="8">
        <v>15.837</v>
      </c>
      <c r="L56" s="8">
        <v>16.055599999999998</v>
      </c>
      <c r="O56" s="8">
        <f t="shared" si="4"/>
        <v>2.0226990213947595</v>
      </c>
      <c r="P56" s="8">
        <f t="shared" si="3"/>
        <v>2.0299719091802237</v>
      </c>
      <c r="Q56" s="8">
        <f t="shared" si="3"/>
        <v>2.031133660818401</v>
      </c>
      <c r="R56" s="8">
        <f t="shared" si="3"/>
        <v>1.9717048273981401</v>
      </c>
      <c r="S56" s="8">
        <f t="shared" si="3"/>
        <v>2.0379759908900228</v>
      </c>
      <c r="T56" s="8">
        <f t="shared" si="3"/>
        <v>2.0201789069821618</v>
      </c>
      <c r="U56" s="8">
        <f t="shared" si="3"/>
        <v>2.0492374103839368</v>
      </c>
      <c r="V56" s="8">
        <f t="shared" si="3"/>
        <v>2.0264638045362977</v>
      </c>
      <c r="W56" s="8">
        <f t="shared" si="3"/>
        <v>2.0412900216017857</v>
      </c>
      <c r="X56" s="8">
        <f t="shared" si="3"/>
        <v>2.0031545224583804</v>
      </c>
      <c r="Y56" s="8">
        <f t="shared" si="3"/>
        <v>1.1996729167206208</v>
      </c>
      <c r="Z56" s="8">
        <f t="shared" si="3"/>
        <v>1.2056265398508357</v>
      </c>
    </row>
    <row r="57" spans="1:26" x14ac:dyDescent="0.3">
      <c r="A57" s="8">
        <v>106.3824649</v>
      </c>
      <c r="B57" s="8">
        <v>104.351</v>
      </c>
      <c r="C57" s="8">
        <v>103.571</v>
      </c>
      <c r="D57" s="8">
        <v>93.697599999999994</v>
      </c>
      <c r="E57" s="8">
        <v>98.512299999999996</v>
      </c>
      <c r="F57" s="8">
        <v>100.03</v>
      </c>
      <c r="G57" s="8">
        <v>113.16</v>
      </c>
      <c r="H57" s="8">
        <v>102.714</v>
      </c>
      <c r="I57" s="8">
        <v>108.673</v>
      </c>
      <c r="J57" s="8">
        <v>100.813</v>
      </c>
      <c r="K57" s="8">
        <v>15.6591</v>
      </c>
      <c r="L57" s="8">
        <v>15.9819</v>
      </c>
      <c r="O57" s="8">
        <f t="shared" si="4"/>
        <v>2.0268700487789459</v>
      </c>
      <c r="P57" s="8">
        <f t="shared" si="3"/>
        <v>2.0184966152836097</v>
      </c>
      <c r="Q57" s="8">
        <f t="shared" si="3"/>
        <v>2.0152381694724042</v>
      </c>
      <c r="R57" s="8">
        <f t="shared" si="3"/>
        <v>1.9717284668738462</v>
      </c>
      <c r="S57" s="8">
        <f t="shared" si="3"/>
        <v>1.9934904588085787</v>
      </c>
      <c r="T57" s="8">
        <f t="shared" si="3"/>
        <v>2.0001302688052269</v>
      </c>
      <c r="U57" s="8">
        <f t="shared" si="3"/>
        <v>2.0536929387849532</v>
      </c>
      <c r="V57" s="8">
        <f t="shared" si="3"/>
        <v>2.0116296423155355</v>
      </c>
      <c r="W57" s="8">
        <f t="shared" si="3"/>
        <v>2.0361216562522793</v>
      </c>
      <c r="X57" s="8">
        <f t="shared" si="3"/>
        <v>2.0035165386990874</v>
      </c>
      <c r="Y57" s="8">
        <f t="shared" si="3"/>
        <v>1.1947667975516885</v>
      </c>
      <c r="Z57" s="8">
        <f t="shared" si="3"/>
        <v>1.2036284089244269</v>
      </c>
    </row>
    <row r="58" spans="1:26" x14ac:dyDescent="0.3">
      <c r="A58" s="8">
        <v>103.159139</v>
      </c>
      <c r="B58" s="8">
        <v>102.09399999999999</v>
      </c>
      <c r="C58" s="8">
        <v>101.514</v>
      </c>
      <c r="D58" s="8">
        <v>92.589299999999994</v>
      </c>
      <c r="E58" s="8">
        <v>116.708</v>
      </c>
      <c r="F58" s="8">
        <v>103.749</v>
      </c>
      <c r="G58" s="8">
        <v>119.464</v>
      </c>
      <c r="H58" s="8">
        <v>98.888499999999993</v>
      </c>
      <c r="I58" s="8">
        <v>109.611</v>
      </c>
      <c r="J58" s="8">
        <v>104.29300000000001</v>
      </c>
      <c r="K58" s="8">
        <v>15.8141</v>
      </c>
      <c r="L58" s="8">
        <v>22.644600000000001</v>
      </c>
      <c r="O58" s="8">
        <f t="shared" si="4"/>
        <v>2.0135077087168751</v>
      </c>
      <c r="P58" s="8">
        <f t="shared" si="3"/>
        <v>2.0090002196240349</v>
      </c>
      <c r="Q58" s="8">
        <f t="shared" si="3"/>
        <v>2.0065259408055507</v>
      </c>
      <c r="R58" s="8">
        <f t="shared" si="3"/>
        <v>1.9665608007266817</v>
      </c>
      <c r="S58" s="8">
        <f t="shared" si="3"/>
        <v>2.0671006267118135</v>
      </c>
      <c r="T58" s="8">
        <f t="shared" si="3"/>
        <v>2.0159839193930469</v>
      </c>
      <c r="U58" s="8">
        <f t="shared" si="3"/>
        <v>2.0772370520889738</v>
      </c>
      <c r="V58" s="8">
        <f t="shared" si="3"/>
        <v>1.9951457893025817</v>
      </c>
      <c r="W58" s="8">
        <f t="shared" si="3"/>
        <v>2.0398541399109713</v>
      </c>
      <c r="X58" s="8">
        <f t="shared" si="3"/>
        <v>2.0182551601677257</v>
      </c>
      <c r="Y58" s="8">
        <f t="shared" si="3"/>
        <v>1.1990444807186522</v>
      </c>
      <c r="Z58" s="8">
        <f t="shared" si="3"/>
        <v>1.354964653598042</v>
      </c>
    </row>
    <row r="59" spans="1:26" x14ac:dyDescent="0.3">
      <c r="A59" s="8">
        <v>97.475103750000002</v>
      </c>
      <c r="B59" s="8">
        <v>110.04</v>
      </c>
      <c r="C59" s="8">
        <v>105.244</v>
      </c>
      <c r="D59" s="8">
        <v>95.619399999999999</v>
      </c>
      <c r="E59" s="8">
        <v>103.955</v>
      </c>
      <c r="F59" s="8">
        <v>103.31699999999999</v>
      </c>
      <c r="G59" s="8">
        <v>107.648</v>
      </c>
      <c r="H59" s="8">
        <v>97.749600000000001</v>
      </c>
      <c r="I59" s="8">
        <v>114.301</v>
      </c>
      <c r="J59" s="8">
        <v>107.964</v>
      </c>
      <c r="K59" s="8">
        <v>22.171800000000001</v>
      </c>
      <c r="L59" s="8">
        <v>22.588699999999999</v>
      </c>
      <c r="O59" s="8">
        <f t="shared" si="4"/>
        <v>1.9888937061121754</v>
      </c>
      <c r="P59" s="8">
        <f t="shared" si="3"/>
        <v>2.041550581717646</v>
      </c>
      <c r="Q59" s="8">
        <f t="shared" si="3"/>
        <v>2.0221973459217879</v>
      </c>
      <c r="R59" s="8">
        <f t="shared" si="3"/>
        <v>1.9805460142237459</v>
      </c>
      <c r="S59" s="8">
        <f t="shared" si="3"/>
        <v>2.0168453827505783</v>
      </c>
      <c r="T59" s="8">
        <f t="shared" si="3"/>
        <v>2.0141717871416072</v>
      </c>
      <c r="U59" s="8">
        <f t="shared" si="3"/>
        <v>2.0320059654457805</v>
      </c>
      <c r="V59" s="8">
        <f t="shared" si="3"/>
        <v>1.9901149889001479</v>
      </c>
      <c r="W59" s="8">
        <f t="shared" si="3"/>
        <v>2.0580500299804272</v>
      </c>
      <c r="X59" s="8">
        <f t="shared" si="3"/>
        <v>2.0332789665268143</v>
      </c>
      <c r="Y59" s="8">
        <f t="shared" si="3"/>
        <v>1.345800952398859</v>
      </c>
      <c r="Z59" s="8">
        <f t="shared" si="3"/>
        <v>1.3538912376015366</v>
      </c>
    </row>
    <row r="60" spans="1:26" x14ac:dyDescent="0.3">
      <c r="A60" s="8">
        <v>101.80168159999999</v>
      </c>
      <c r="B60" s="8">
        <v>109.435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>
        <f t="shared" si="4"/>
        <v>2.0077549519061324</v>
      </c>
      <c r="P60" s="8">
        <f t="shared" si="3"/>
        <v>2.0391562422523641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">
      <c r="A61" s="8">
        <v>104.42762449999999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>
        <f t="shared" si="4"/>
        <v>2.0188153988669617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26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7" spans="1:19" x14ac:dyDescent="0.3">
      <c r="A67" s="9"/>
      <c r="B67" s="8"/>
      <c r="C67" s="8"/>
      <c r="D67" s="8"/>
      <c r="E67" s="8"/>
      <c r="J67" s="8"/>
      <c r="K67" s="8"/>
      <c r="L67" s="8"/>
      <c r="M67" s="8"/>
      <c r="P67" s="8"/>
      <c r="Q67" s="8"/>
      <c r="R67" s="8"/>
      <c r="S67" s="8"/>
    </row>
    <row r="68" spans="1:19" x14ac:dyDescent="0.3">
      <c r="A68" s="9"/>
      <c r="B68" s="8"/>
      <c r="C68" s="8"/>
      <c r="D68" s="8"/>
      <c r="E68" s="8"/>
      <c r="J68" s="8"/>
      <c r="K68" s="8"/>
      <c r="L68" s="8"/>
      <c r="M68" s="8"/>
      <c r="P68" s="8"/>
      <c r="Q68" s="8"/>
      <c r="R68" s="8"/>
      <c r="S68" s="8"/>
    </row>
    <row r="69" spans="1:19" x14ac:dyDescent="0.3">
      <c r="A69" s="9"/>
      <c r="B69" s="8"/>
      <c r="C69" s="8"/>
      <c r="D69" s="8"/>
      <c r="E69" s="8"/>
      <c r="J69" s="8"/>
      <c r="K69" s="8"/>
      <c r="L69" s="8"/>
      <c r="M69" s="8"/>
      <c r="P69" s="8"/>
      <c r="Q69" s="8"/>
      <c r="R69" s="8"/>
      <c r="S69" s="8"/>
    </row>
    <row r="70" spans="1:19" x14ac:dyDescent="0.3">
      <c r="A70" s="9"/>
      <c r="B70" s="8"/>
      <c r="C70" s="8"/>
      <c r="D70" s="8"/>
      <c r="E70" s="8"/>
      <c r="J70" s="8"/>
      <c r="K70" s="8"/>
      <c r="L70" s="8"/>
      <c r="M70" s="8"/>
      <c r="P70" s="8"/>
      <c r="Q70" s="8"/>
      <c r="R70" s="8"/>
      <c r="S70" s="8"/>
    </row>
    <row r="71" spans="1:19" x14ac:dyDescent="0.3">
      <c r="A71" s="9"/>
      <c r="B71" s="8"/>
      <c r="C71" s="8"/>
      <c r="D71" s="8"/>
      <c r="E71" s="8"/>
      <c r="J71" s="8"/>
      <c r="K71" s="8"/>
      <c r="L71" s="8"/>
      <c r="M71" s="8"/>
      <c r="P71" s="8"/>
      <c r="Q71" s="8"/>
      <c r="R71" s="8"/>
      <c r="S71" s="8"/>
    </row>
    <row r="72" spans="1:19" x14ac:dyDescent="0.3">
      <c r="A72" s="9"/>
      <c r="B72" s="8"/>
      <c r="C72" s="8"/>
      <c r="D72" s="8"/>
      <c r="E72" s="8"/>
      <c r="J72" s="8"/>
      <c r="K72" s="8"/>
      <c r="L72" s="8"/>
      <c r="M72" s="8"/>
      <c r="P72" s="8"/>
      <c r="Q72" s="8"/>
      <c r="R72" s="8"/>
      <c r="S72" s="8"/>
    </row>
    <row r="73" spans="1:19" x14ac:dyDescent="0.3">
      <c r="A73" s="9"/>
      <c r="B73" s="8"/>
      <c r="C73" s="8"/>
      <c r="D73" s="8"/>
      <c r="E73" s="8"/>
      <c r="J73" s="8"/>
      <c r="K73" s="8"/>
      <c r="L73" s="8"/>
      <c r="M73" s="8"/>
      <c r="P73" s="8"/>
      <c r="Q73" s="8"/>
      <c r="R73" s="8"/>
      <c r="S73" s="8"/>
    </row>
    <row r="74" spans="1:19" x14ac:dyDescent="0.3">
      <c r="A74" s="9"/>
      <c r="B74" s="8"/>
      <c r="C74" s="8"/>
      <c r="D74" s="8"/>
      <c r="E74" s="8"/>
      <c r="J74" s="8"/>
      <c r="K74" s="8"/>
      <c r="L74" s="8"/>
      <c r="M74" s="8"/>
      <c r="P74" s="8"/>
      <c r="Q74" s="8"/>
      <c r="R74" s="8"/>
      <c r="S74" s="8"/>
    </row>
    <row r="75" spans="1:19" x14ac:dyDescent="0.3">
      <c r="A75" s="9"/>
      <c r="B75" s="8"/>
      <c r="C75" s="8"/>
      <c r="D75" s="8"/>
      <c r="E75" s="8"/>
      <c r="J75" s="8"/>
      <c r="K75" s="8"/>
      <c r="L75" s="8"/>
      <c r="M75" s="8"/>
      <c r="P75" s="8"/>
      <c r="Q75" s="8"/>
      <c r="R75" s="8"/>
      <c r="S75" s="8"/>
    </row>
    <row r="76" spans="1:19" x14ac:dyDescent="0.3">
      <c r="A76" s="9"/>
      <c r="B76" s="8"/>
      <c r="C76" s="8"/>
      <c r="D76" s="8"/>
      <c r="E76" s="8"/>
      <c r="J76" s="8"/>
      <c r="K76" s="8"/>
      <c r="L76" s="8"/>
      <c r="M76" s="8"/>
      <c r="P76" s="8"/>
      <c r="Q76" s="8"/>
      <c r="R76" s="8"/>
      <c r="S76" s="8"/>
    </row>
    <row r="77" spans="1:19" x14ac:dyDescent="0.3">
      <c r="A77" s="9"/>
      <c r="B77" s="8"/>
      <c r="C77" s="8"/>
      <c r="D77" s="8"/>
      <c r="E77" s="8"/>
      <c r="J77" s="8"/>
      <c r="K77" s="8"/>
      <c r="L77" s="8"/>
      <c r="M77" s="8"/>
      <c r="P77" s="8"/>
      <c r="Q77" s="8"/>
      <c r="R77" s="8"/>
      <c r="S77" s="8"/>
    </row>
    <row r="78" spans="1:19" x14ac:dyDescent="0.3">
      <c r="A78" s="9"/>
      <c r="B78" s="8"/>
      <c r="C78" s="8"/>
      <c r="D78" s="8"/>
      <c r="E78" s="8"/>
      <c r="J78" s="8"/>
      <c r="K78" s="8"/>
      <c r="L78" s="8"/>
      <c r="M78" s="8"/>
      <c r="P78" s="8"/>
      <c r="Q78" s="8"/>
      <c r="R78" s="8"/>
      <c r="S78" s="8"/>
    </row>
    <row r="79" spans="1:19" x14ac:dyDescent="0.3">
      <c r="A79" s="9"/>
      <c r="B79" s="8"/>
      <c r="C79" s="8"/>
      <c r="D79" s="8"/>
      <c r="E79" s="8"/>
      <c r="J79" s="8"/>
      <c r="K79" s="8"/>
      <c r="L79" s="8"/>
      <c r="M79" s="8"/>
      <c r="P79" s="8"/>
      <c r="Q79" s="8"/>
      <c r="R79" s="8"/>
      <c r="S79" s="8"/>
    </row>
    <row r="80" spans="1:19" x14ac:dyDescent="0.3">
      <c r="A80" s="9"/>
      <c r="B80" s="8"/>
      <c r="C80" s="8"/>
      <c r="D80" s="8"/>
      <c r="E80" s="8"/>
      <c r="J80" s="8"/>
      <c r="K80" s="8"/>
      <c r="L80" s="8"/>
      <c r="M80" s="8"/>
      <c r="P80" s="8"/>
      <c r="Q80" s="8"/>
      <c r="R80" s="8"/>
      <c r="S80" s="8"/>
    </row>
    <row r="81" spans="1:19" x14ac:dyDescent="0.3">
      <c r="A81" s="9"/>
      <c r="B81" s="8"/>
      <c r="C81" s="8"/>
      <c r="D81" s="8"/>
      <c r="E81" s="8"/>
      <c r="J81" s="8"/>
      <c r="K81" s="8"/>
      <c r="L81" s="8"/>
      <c r="M81" s="8"/>
      <c r="P81" s="8"/>
      <c r="Q81" s="8"/>
      <c r="R81" s="8"/>
      <c r="S81" s="8"/>
    </row>
    <row r="82" spans="1:19" x14ac:dyDescent="0.3">
      <c r="A82" s="9"/>
      <c r="B82" s="8"/>
      <c r="C82" s="8"/>
      <c r="D82" s="8"/>
      <c r="E82" s="8"/>
      <c r="J82" s="8"/>
      <c r="K82" s="8"/>
      <c r="L82" s="8"/>
      <c r="M82" s="8"/>
      <c r="P82" s="8"/>
      <c r="Q82" s="8"/>
      <c r="R82" s="8"/>
      <c r="S82" s="8"/>
    </row>
  </sheetData>
  <mergeCells count="2">
    <mergeCell ref="A1:B1"/>
    <mergeCell ref="A46:B4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6A93-B95B-4EC3-BCE1-C79B60C4AD06}">
  <dimension ref="A1:Z56"/>
  <sheetViews>
    <sheetView topLeftCell="A40" workbookViewId="0">
      <selection activeCell="N57" sqref="N57"/>
    </sheetView>
  </sheetViews>
  <sheetFormatPr defaultRowHeight="14.4" x14ac:dyDescent="0.3"/>
  <sheetData>
    <row r="1" spans="1:21" x14ac:dyDescent="0.3">
      <c r="A1" t="s">
        <v>37</v>
      </c>
    </row>
    <row r="3" spans="1:21" x14ac:dyDescent="0.3">
      <c r="A3" s="6" t="s">
        <v>28</v>
      </c>
      <c r="B3" s="6" t="s">
        <v>29</v>
      </c>
      <c r="C3" s="6" t="s">
        <v>43</v>
      </c>
      <c r="D3" s="6" t="s">
        <v>44</v>
      </c>
      <c r="E3" s="6" t="s">
        <v>39</v>
      </c>
      <c r="F3" s="6" t="s">
        <v>30</v>
      </c>
      <c r="G3" s="6" t="s">
        <v>45</v>
      </c>
      <c r="H3" s="6" t="s">
        <v>31</v>
      </c>
      <c r="I3" s="6" t="s">
        <v>32</v>
      </c>
      <c r="J3" s="6" t="s">
        <v>33</v>
      </c>
      <c r="K3" s="6" t="s">
        <v>41</v>
      </c>
      <c r="L3" s="6" t="s">
        <v>34</v>
      </c>
      <c r="M3" s="6" t="s">
        <v>35</v>
      </c>
      <c r="N3" s="6" t="s">
        <v>36</v>
      </c>
      <c r="O3" s="6" t="s">
        <v>9</v>
      </c>
      <c r="P3" s="9"/>
      <c r="Q3" s="9"/>
      <c r="R3" s="9"/>
      <c r="S3" s="9"/>
      <c r="T3" s="9"/>
      <c r="U3" s="9"/>
    </row>
    <row r="4" spans="1:21" x14ac:dyDescent="0.3">
      <c r="A4" s="4">
        <v>96.721900000000005</v>
      </c>
      <c r="B4" s="4">
        <v>101.203</v>
      </c>
      <c r="C4" s="4">
        <v>101.53400000000001</v>
      </c>
      <c r="D4" s="4">
        <v>101.81</v>
      </c>
      <c r="E4" s="4">
        <v>100.928</v>
      </c>
      <c r="F4" s="4">
        <v>104.015</v>
      </c>
      <c r="G4" s="4">
        <v>106.444</v>
      </c>
      <c r="H4" s="4">
        <v>106.455</v>
      </c>
      <c r="I4" s="4">
        <v>102.056</v>
      </c>
      <c r="J4" s="4">
        <v>102.006</v>
      </c>
      <c r="K4" s="4">
        <v>99.5702</v>
      </c>
      <c r="L4" s="4">
        <v>85.113399999999999</v>
      </c>
      <c r="M4" s="4">
        <v>14.753399999999999</v>
      </c>
      <c r="N4" s="4">
        <v>10.992100000000001</v>
      </c>
      <c r="O4" s="4">
        <v>97.123024970000003</v>
      </c>
    </row>
    <row r="5" spans="1:21" x14ac:dyDescent="0.3">
      <c r="A5" s="4">
        <v>100.71899999999999</v>
      </c>
      <c r="B5" s="4">
        <v>102.47199999999999</v>
      </c>
      <c r="C5" s="4">
        <v>102.456</v>
      </c>
      <c r="D5" s="4">
        <v>103.09099999999999</v>
      </c>
      <c r="E5" s="4">
        <v>107.672</v>
      </c>
      <c r="F5" s="4">
        <v>104.46599999999999</v>
      </c>
      <c r="G5" s="4">
        <v>110.26</v>
      </c>
      <c r="H5" s="4">
        <v>108.636</v>
      </c>
      <c r="I5" s="4">
        <v>105.253</v>
      </c>
      <c r="J5" s="4">
        <v>100.881</v>
      </c>
      <c r="K5" s="4">
        <v>96.100800000000007</v>
      </c>
      <c r="L5" s="4">
        <v>83.821100000000001</v>
      </c>
      <c r="M5" s="4">
        <v>17.3691</v>
      </c>
      <c r="N5" s="4">
        <v>9.7653700000000008</v>
      </c>
      <c r="O5" s="4">
        <v>97.035625170000003</v>
      </c>
    </row>
    <row r="6" spans="1:21" x14ac:dyDescent="0.3">
      <c r="A6" s="4">
        <v>96.775000000000006</v>
      </c>
      <c r="B6" s="4">
        <v>99.446899999999999</v>
      </c>
      <c r="C6" s="4">
        <v>98.240499999999997</v>
      </c>
      <c r="D6" s="4">
        <v>92.862300000000005</v>
      </c>
      <c r="E6" s="4">
        <v>98.398099999999999</v>
      </c>
      <c r="F6" s="4">
        <v>97.507000000000005</v>
      </c>
      <c r="G6" s="4">
        <v>105.18300000000001</v>
      </c>
      <c r="H6" s="4">
        <v>110.125</v>
      </c>
      <c r="I6" s="4">
        <v>108.301</v>
      </c>
      <c r="J6" s="4">
        <v>100.026</v>
      </c>
      <c r="K6" s="4">
        <v>97.458600000000004</v>
      </c>
      <c r="L6" s="4">
        <v>84.684200000000004</v>
      </c>
      <c r="M6" s="4">
        <v>16.613800000000001</v>
      </c>
      <c r="N6" s="4">
        <v>9.0318299999999994</v>
      </c>
      <c r="O6" s="4">
        <v>98.860095939999994</v>
      </c>
    </row>
    <row r="7" spans="1:21" x14ac:dyDescent="0.3">
      <c r="A7" s="4">
        <v>101.206</v>
      </c>
      <c r="B7" s="4">
        <v>105.584</v>
      </c>
      <c r="C7" s="4">
        <v>92.372200000000007</v>
      </c>
      <c r="D7" s="4">
        <v>92.155299999999997</v>
      </c>
      <c r="E7" s="4">
        <v>95.740200000000002</v>
      </c>
      <c r="F7" s="4">
        <v>95.140900000000002</v>
      </c>
      <c r="G7" s="4">
        <v>97.34</v>
      </c>
      <c r="H7" s="4">
        <v>107.127</v>
      </c>
      <c r="I7" s="4">
        <v>106.286</v>
      </c>
      <c r="J7" s="4">
        <v>101.893</v>
      </c>
      <c r="K7" s="4">
        <v>99.8917</v>
      </c>
      <c r="L7" s="4">
        <v>84.868300000000005</v>
      </c>
      <c r="M7" s="4">
        <v>17.306699999999999</v>
      </c>
      <c r="N7" s="4">
        <v>9.0646100000000001</v>
      </c>
      <c r="O7" s="4">
        <v>100.84531990000001</v>
      </c>
    </row>
    <row r="8" spans="1:21" x14ac:dyDescent="0.3">
      <c r="A8" s="4">
        <v>102.60899999999999</v>
      </c>
      <c r="B8" s="4">
        <v>94.977000000000004</v>
      </c>
      <c r="C8" s="4">
        <v>92.625100000000003</v>
      </c>
      <c r="D8" s="4">
        <v>93.199399999999997</v>
      </c>
      <c r="E8" s="4">
        <v>92.220799999999997</v>
      </c>
      <c r="F8" s="4">
        <v>92.465900000000005</v>
      </c>
      <c r="G8" s="4">
        <v>97.953299999999999</v>
      </c>
      <c r="H8" s="4">
        <v>98.619699999999995</v>
      </c>
      <c r="I8" s="4">
        <v>103.566</v>
      </c>
      <c r="J8" s="4">
        <v>101.179</v>
      </c>
      <c r="K8" s="4">
        <v>98.235799999999998</v>
      </c>
      <c r="L8" s="4">
        <v>83.224900000000005</v>
      </c>
      <c r="M8" s="4">
        <v>18.375800000000002</v>
      </c>
      <c r="N8" s="4">
        <v>8.4809000000000001</v>
      </c>
      <c r="O8" s="4">
        <v>101.664693</v>
      </c>
    </row>
    <row r="9" spans="1:21" x14ac:dyDescent="0.3">
      <c r="A9" s="4">
        <v>101.996</v>
      </c>
      <c r="B9" s="4">
        <v>92.918499999999995</v>
      </c>
      <c r="C9" s="4">
        <v>93.243099999999998</v>
      </c>
      <c r="D9" s="4">
        <v>90.947299999999998</v>
      </c>
      <c r="E9" s="4">
        <v>94.7804</v>
      </c>
      <c r="F9" s="4">
        <v>93.4756</v>
      </c>
      <c r="G9" s="4">
        <v>95.262699999999995</v>
      </c>
      <c r="H9" s="4">
        <v>95.421899999999994</v>
      </c>
      <c r="I9" s="4">
        <v>103.505</v>
      </c>
      <c r="J9" s="4">
        <v>103.566</v>
      </c>
      <c r="K9" s="4">
        <v>96.8202</v>
      </c>
      <c r="L9" s="4">
        <v>84.660799999999995</v>
      </c>
      <c r="M9" s="4">
        <v>16.997699999999998</v>
      </c>
      <c r="N9" s="4">
        <v>8.1531500000000001</v>
      </c>
      <c r="O9" s="4">
        <v>100.5784384</v>
      </c>
    </row>
    <row r="10" spans="1:21" x14ac:dyDescent="0.3">
      <c r="A10" s="4">
        <v>105.827</v>
      </c>
      <c r="B10" s="4">
        <v>105.58499999999999</v>
      </c>
      <c r="C10" s="4">
        <v>92.585999999999999</v>
      </c>
      <c r="D10" s="4">
        <v>91.699600000000004</v>
      </c>
      <c r="E10" s="4">
        <v>92.108500000000006</v>
      </c>
      <c r="F10" s="4">
        <v>94.273200000000003</v>
      </c>
      <c r="G10" s="4">
        <v>95.668400000000005</v>
      </c>
      <c r="H10" s="4">
        <v>95.741799999999998</v>
      </c>
      <c r="I10" s="4">
        <v>101.569</v>
      </c>
      <c r="J10" s="4">
        <v>101.012</v>
      </c>
      <c r="K10" s="4">
        <v>96.2209</v>
      </c>
      <c r="L10" s="4">
        <v>85.8172</v>
      </c>
      <c r="M10" s="4">
        <v>19.760200000000001</v>
      </c>
      <c r="N10" s="4">
        <v>8.2982999999999993</v>
      </c>
      <c r="O10" s="4">
        <v>100.92023399999999</v>
      </c>
    </row>
    <row r="11" spans="1:21" x14ac:dyDescent="0.3">
      <c r="A11" s="4">
        <v>102.355</v>
      </c>
      <c r="B11" s="4">
        <v>107.72499999999999</v>
      </c>
      <c r="C11" s="4">
        <v>106.857</v>
      </c>
      <c r="D11" s="4">
        <v>98.803899999999999</v>
      </c>
      <c r="E11" s="4">
        <v>104.31</v>
      </c>
      <c r="F11" s="4">
        <v>95.094099999999997</v>
      </c>
      <c r="G11" s="4">
        <v>105.117</v>
      </c>
      <c r="H11" s="4">
        <v>106.178</v>
      </c>
      <c r="I11" s="4">
        <v>104.902</v>
      </c>
      <c r="J11" s="4">
        <v>99.254999999999995</v>
      </c>
      <c r="K11" s="4">
        <v>100.246</v>
      </c>
      <c r="L11" s="4">
        <v>89.274199999999993</v>
      </c>
      <c r="M11" s="4">
        <v>20.588899999999999</v>
      </c>
      <c r="N11" s="4">
        <v>9.8605699999999992</v>
      </c>
      <c r="O11" s="4">
        <v>102.9725686</v>
      </c>
    </row>
    <row r="12" spans="1:21" x14ac:dyDescent="0.3">
      <c r="A12" s="4">
        <v>107.59399999999999</v>
      </c>
      <c r="B12" s="4">
        <v>101.191</v>
      </c>
      <c r="C12" s="4">
        <v>96.494299999999996</v>
      </c>
      <c r="D12" s="4">
        <v>102.33499999999999</v>
      </c>
      <c r="E12" s="4">
        <v>101.015</v>
      </c>
      <c r="F12" s="4">
        <v>98.462800000000001</v>
      </c>
      <c r="G12" s="4">
        <v>99.282799999999995</v>
      </c>
      <c r="H12" s="4">
        <v>97.868099999999998</v>
      </c>
      <c r="I12" s="4">
        <v>92.787099999999995</v>
      </c>
      <c r="J12" s="4">
        <v>107.46599999999999</v>
      </c>
      <c r="K12" s="4">
        <v>92.583200000000005</v>
      </c>
      <c r="L12" s="4">
        <v>78.445599999999999</v>
      </c>
      <c r="M12" s="4">
        <v>18.8066</v>
      </c>
      <c r="N12" s="4">
        <v>9.6576799999999992</v>
      </c>
      <c r="O12" s="4">
        <v>98.859882850000005</v>
      </c>
    </row>
    <row r="13" spans="1:21" x14ac:dyDescent="0.3">
      <c r="A13" s="4">
        <v>103.89400000000001</v>
      </c>
      <c r="B13" s="4">
        <v>97.924000000000007</v>
      </c>
      <c r="C13" s="4">
        <v>95.571299999999994</v>
      </c>
      <c r="D13" s="4">
        <v>95.099000000000004</v>
      </c>
      <c r="E13" s="4">
        <v>96.517899999999997</v>
      </c>
      <c r="F13" s="4">
        <v>95.292199999999994</v>
      </c>
      <c r="G13" s="4">
        <v>94.826400000000007</v>
      </c>
      <c r="H13" s="4">
        <v>92.718400000000003</v>
      </c>
      <c r="I13" s="4">
        <v>83.651200000000003</v>
      </c>
      <c r="J13" s="4">
        <v>106.126</v>
      </c>
      <c r="K13" s="4">
        <v>90.681299999999993</v>
      </c>
      <c r="L13" s="4">
        <v>74.188900000000004</v>
      </c>
      <c r="M13" s="4">
        <v>18.720700000000001</v>
      </c>
      <c r="N13" s="4">
        <v>8.5402100000000001</v>
      </c>
      <c r="O13" s="4">
        <v>105.0936324</v>
      </c>
    </row>
    <row r="14" spans="1:21" x14ac:dyDescent="0.3">
      <c r="A14" s="4">
        <v>107.736</v>
      </c>
      <c r="B14" s="4">
        <v>96.095100000000002</v>
      </c>
      <c r="C14" s="4">
        <v>97.076099999999997</v>
      </c>
      <c r="D14" s="4">
        <v>96.453500000000005</v>
      </c>
      <c r="E14" s="4">
        <v>96.756200000000007</v>
      </c>
      <c r="F14" s="4">
        <v>93.819599999999994</v>
      </c>
      <c r="G14" s="4">
        <v>97.295000000000002</v>
      </c>
      <c r="H14" s="4">
        <v>93.729500000000002</v>
      </c>
      <c r="I14" s="4">
        <v>90.488100000000003</v>
      </c>
      <c r="J14" s="4">
        <v>111.39</v>
      </c>
      <c r="K14" s="4">
        <v>90.226200000000006</v>
      </c>
      <c r="L14" s="4">
        <v>77.662099999999995</v>
      </c>
      <c r="M14" s="4">
        <v>14.666</v>
      </c>
      <c r="N14" s="4">
        <v>8.20153</v>
      </c>
      <c r="O14" s="4">
        <v>106.21416170000001</v>
      </c>
    </row>
    <row r="15" spans="1:21" x14ac:dyDescent="0.3">
      <c r="A15" s="4">
        <v>105.624</v>
      </c>
      <c r="B15" s="4">
        <v>98.151499999999999</v>
      </c>
      <c r="C15" s="4">
        <v>93.482600000000005</v>
      </c>
      <c r="D15" s="4">
        <v>92.482299999999995</v>
      </c>
      <c r="E15" s="4">
        <v>93.201400000000007</v>
      </c>
      <c r="F15" s="4">
        <v>93.933400000000006</v>
      </c>
      <c r="G15" s="4">
        <v>97.073899999999995</v>
      </c>
      <c r="H15" s="4">
        <v>92.8</v>
      </c>
      <c r="I15" s="4">
        <v>85.8643</v>
      </c>
      <c r="J15" s="4">
        <v>114.08799999999999</v>
      </c>
      <c r="K15" s="4">
        <v>93.813199999999995</v>
      </c>
      <c r="L15" s="4">
        <v>77.924000000000007</v>
      </c>
      <c r="M15" s="4">
        <v>16.5747</v>
      </c>
      <c r="N15" s="4">
        <v>9.2081900000000001</v>
      </c>
      <c r="O15" s="4">
        <v>106.32578530000001</v>
      </c>
    </row>
    <row r="16" spans="1:21" x14ac:dyDescent="0.3">
      <c r="A16" s="4">
        <v>107.09399999999999</v>
      </c>
      <c r="B16" s="4">
        <v>93.001800000000003</v>
      </c>
      <c r="C16" s="4">
        <v>96.807699999999997</v>
      </c>
      <c r="D16" s="4">
        <v>93.006100000000004</v>
      </c>
      <c r="E16" s="4">
        <v>94.618200000000002</v>
      </c>
      <c r="F16" s="4">
        <v>94.616</v>
      </c>
      <c r="G16" s="4">
        <v>97.026700000000005</v>
      </c>
      <c r="H16" s="4">
        <v>98.782600000000002</v>
      </c>
      <c r="I16" s="4">
        <v>89.088499999999996</v>
      </c>
      <c r="J16" s="4">
        <v>110.786</v>
      </c>
      <c r="K16" s="4">
        <v>90.380799999999994</v>
      </c>
      <c r="L16" s="4">
        <v>67.085800000000006</v>
      </c>
      <c r="M16" s="4"/>
      <c r="N16" s="4">
        <v>8.6338500000000007</v>
      </c>
      <c r="O16" s="4">
        <v>97.340084419999997</v>
      </c>
    </row>
    <row r="17" spans="1:26" x14ac:dyDescent="0.3">
      <c r="A17" s="4">
        <v>102.67400000000001</v>
      </c>
      <c r="B17" s="4">
        <v>97.466700000000003</v>
      </c>
      <c r="C17" s="4">
        <v>93.789599999999993</v>
      </c>
      <c r="D17" s="4">
        <v>94.384200000000007</v>
      </c>
      <c r="E17" s="4">
        <v>89.620900000000006</v>
      </c>
      <c r="F17" s="4">
        <v>89.908500000000004</v>
      </c>
      <c r="G17" s="4">
        <v>93.598500000000001</v>
      </c>
      <c r="H17" s="4">
        <v>99.164699999999996</v>
      </c>
      <c r="I17" s="4">
        <v>87.978700000000003</v>
      </c>
      <c r="J17" s="4">
        <v>111.83199999999999</v>
      </c>
      <c r="K17" s="4">
        <v>77.273600000000002</v>
      </c>
      <c r="L17" s="4">
        <v>81.345699999999994</v>
      </c>
      <c r="M17" s="4"/>
      <c r="N17" s="4">
        <v>8.6198099999999993</v>
      </c>
      <c r="O17" s="4">
        <v>95.828872410000002</v>
      </c>
    </row>
    <row r="18" spans="1:26" x14ac:dyDescent="0.3">
      <c r="A18" s="4">
        <v>99.789400000000001</v>
      </c>
      <c r="B18" s="4">
        <v>93.471900000000005</v>
      </c>
      <c r="C18" s="4">
        <v>102.086</v>
      </c>
      <c r="D18" s="4">
        <v>100.491</v>
      </c>
      <c r="E18" s="4">
        <v>94.989500000000007</v>
      </c>
      <c r="F18" s="4">
        <v>89.601600000000005</v>
      </c>
      <c r="G18" s="4">
        <v>99.991100000000003</v>
      </c>
      <c r="H18" s="4">
        <v>99.022999999999996</v>
      </c>
      <c r="I18" s="4">
        <v>91.327399999999997</v>
      </c>
      <c r="J18" s="4">
        <v>112.697</v>
      </c>
      <c r="K18" s="4">
        <v>85.802099999999996</v>
      </c>
      <c r="L18" s="4">
        <v>81.543199999999999</v>
      </c>
      <c r="M18" s="4"/>
      <c r="N18" s="4">
        <v>7.80199</v>
      </c>
      <c r="O18" s="4">
        <v>92.857967000000002</v>
      </c>
    </row>
    <row r="19" spans="1:26" x14ac:dyDescent="0.3">
      <c r="A19" s="4">
        <v>106.11499999999999</v>
      </c>
      <c r="B19" s="4">
        <v>104.727</v>
      </c>
      <c r="C19" s="4">
        <v>114.73</v>
      </c>
      <c r="D19" s="4">
        <v>110.14700000000001</v>
      </c>
      <c r="E19" s="4">
        <v>106.794</v>
      </c>
      <c r="F19" s="4">
        <v>78.787000000000006</v>
      </c>
      <c r="G19" s="4">
        <v>100.051</v>
      </c>
      <c r="H19" s="4">
        <v>107.01300000000001</v>
      </c>
      <c r="I19" s="4">
        <v>97.668499999999995</v>
      </c>
      <c r="J19" s="4">
        <v>117.20099999999999</v>
      </c>
      <c r="K19" s="4">
        <v>88.517499999999998</v>
      </c>
      <c r="L19" s="4">
        <v>82.092699999999994</v>
      </c>
      <c r="M19" s="4"/>
      <c r="N19" s="4">
        <v>9.6764100000000006</v>
      </c>
      <c r="O19" s="4">
        <v>97.479613929999999</v>
      </c>
    </row>
    <row r="20" spans="1:26" x14ac:dyDescent="0.3">
      <c r="A20" s="4">
        <v>105.68600000000001</v>
      </c>
      <c r="B20" s="4">
        <v>105.73699999999999</v>
      </c>
      <c r="C20" s="4">
        <v>100.001</v>
      </c>
      <c r="D20" s="4">
        <v>105.71599999999999</v>
      </c>
      <c r="E20" s="4">
        <v>105.602</v>
      </c>
      <c r="F20" s="4">
        <v>105.801</v>
      </c>
      <c r="G20" s="4">
        <v>102.925</v>
      </c>
      <c r="H20" s="4">
        <v>98.859499999999997</v>
      </c>
      <c r="I20" s="4">
        <v>101.899</v>
      </c>
      <c r="J20" s="4">
        <v>107.214</v>
      </c>
      <c r="K20" s="4">
        <v>101.49</v>
      </c>
      <c r="L20" s="4">
        <v>76.860100000000003</v>
      </c>
      <c r="M20" s="4"/>
      <c r="N20" s="4">
        <v>8.1968499999999995</v>
      </c>
      <c r="O20" s="4">
        <v>95.013517770000007</v>
      </c>
    </row>
    <row r="21" spans="1:26" x14ac:dyDescent="0.3">
      <c r="A21" s="4">
        <v>103.488</v>
      </c>
      <c r="B21" s="4">
        <v>101.083</v>
      </c>
      <c r="C21" s="4">
        <v>103.078</v>
      </c>
      <c r="D21" s="4">
        <v>104.072</v>
      </c>
      <c r="E21" s="4">
        <v>101.913</v>
      </c>
      <c r="F21" s="4">
        <v>109.089</v>
      </c>
      <c r="G21" s="4">
        <v>105.789</v>
      </c>
      <c r="H21" s="4">
        <v>101.063</v>
      </c>
      <c r="I21" s="4">
        <v>97.680199999999999</v>
      </c>
      <c r="J21" s="4">
        <v>108.46599999999999</v>
      </c>
      <c r="K21" s="4">
        <v>105.39</v>
      </c>
      <c r="L21" s="4">
        <v>74.505399999999995</v>
      </c>
      <c r="M21" s="4"/>
      <c r="N21" s="4">
        <v>8.3170300000000008</v>
      </c>
      <c r="O21" s="4">
        <v>101.02708250000001</v>
      </c>
    </row>
    <row r="22" spans="1:26" x14ac:dyDescent="0.3">
      <c r="A22" s="4">
        <v>102.15</v>
      </c>
      <c r="B22" s="4">
        <v>99.8095</v>
      </c>
      <c r="C22" s="4">
        <v>101.83799999999999</v>
      </c>
      <c r="D22" s="4">
        <v>101.854</v>
      </c>
      <c r="E22" s="4">
        <v>99.636399999999995</v>
      </c>
      <c r="F22" s="4">
        <v>102.005</v>
      </c>
      <c r="G22" s="4">
        <v>106.113</v>
      </c>
      <c r="H22" s="4">
        <v>102.229</v>
      </c>
      <c r="I22" s="4">
        <v>98.887699999999995</v>
      </c>
      <c r="J22" s="4">
        <v>102.599</v>
      </c>
      <c r="K22" s="4">
        <v>96.299599999999998</v>
      </c>
      <c r="L22" s="4">
        <v>71.007599999999996</v>
      </c>
      <c r="M22" s="4"/>
      <c r="N22" s="4">
        <v>7.1527399999999997</v>
      </c>
      <c r="O22" s="4">
        <v>96.289488340000005</v>
      </c>
    </row>
    <row r="23" spans="1:26" x14ac:dyDescent="0.3">
      <c r="A23" s="4">
        <v>109.081</v>
      </c>
      <c r="B23" s="4">
        <v>101.059</v>
      </c>
      <c r="C23" s="4">
        <v>106.169</v>
      </c>
      <c r="D23" s="4">
        <v>105.676</v>
      </c>
      <c r="E23" s="4">
        <v>101.794</v>
      </c>
      <c r="F23" s="4">
        <v>105.429</v>
      </c>
      <c r="G23" s="4">
        <v>105.02200000000001</v>
      </c>
      <c r="H23" s="4">
        <v>99.521699999999996</v>
      </c>
      <c r="I23" s="4">
        <v>103.108</v>
      </c>
      <c r="J23" s="4">
        <v>111.044</v>
      </c>
      <c r="K23" s="4">
        <v>106.471</v>
      </c>
      <c r="L23" s="4">
        <v>79.7864</v>
      </c>
      <c r="M23" s="4"/>
      <c r="N23" s="4">
        <v>10.2554</v>
      </c>
      <c r="O23" s="4">
        <v>101.91865180000001</v>
      </c>
    </row>
    <row r="24" spans="1:26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O24" s="4">
        <v>101.5926152</v>
      </c>
    </row>
    <row r="25" spans="1:26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26" x14ac:dyDescent="0.3">
      <c r="A26" s="5" t="s">
        <v>42</v>
      </c>
    </row>
    <row r="27" spans="1:26" x14ac:dyDescent="0.3">
      <c r="A27" s="6" t="s">
        <v>28</v>
      </c>
      <c r="B27" s="4">
        <v>96.721900000000005</v>
      </c>
      <c r="C27" s="4">
        <v>100.71899999999999</v>
      </c>
      <c r="D27" s="4">
        <v>96.775000000000006</v>
      </c>
      <c r="E27" s="4">
        <v>101.206</v>
      </c>
      <c r="F27" s="4">
        <v>102.60899999999999</v>
      </c>
      <c r="G27" s="4">
        <v>101.996</v>
      </c>
      <c r="H27" s="10">
        <f>AVERAGE(B27:G27)</f>
        <v>100.00448333333334</v>
      </c>
      <c r="J27" s="4">
        <v>105.827</v>
      </c>
      <c r="K27" s="4">
        <v>102.355</v>
      </c>
      <c r="L27" s="4">
        <v>107.59399999999999</v>
      </c>
      <c r="M27" s="4">
        <v>103.89400000000001</v>
      </c>
      <c r="N27" s="4">
        <v>107.736</v>
      </c>
      <c r="O27" s="4">
        <v>105.624</v>
      </c>
      <c r="P27" s="10">
        <f>AVERAGE(J27:O27)</f>
        <v>105.50500000000001</v>
      </c>
      <c r="R27" s="4">
        <v>107.09399999999999</v>
      </c>
      <c r="S27" s="4">
        <v>102.67400000000001</v>
      </c>
      <c r="T27" s="4">
        <v>99.789400000000001</v>
      </c>
      <c r="U27" s="4">
        <v>106.11499999999999</v>
      </c>
      <c r="V27" s="4">
        <v>105.68600000000001</v>
      </c>
      <c r="W27" s="4">
        <v>103.488</v>
      </c>
      <c r="X27" s="4">
        <v>102.15</v>
      </c>
      <c r="Y27" s="4">
        <v>109.081</v>
      </c>
      <c r="Z27" s="10">
        <f>AVERAGE(R27:Y27)</f>
        <v>104.50967500000002</v>
      </c>
    </row>
    <row r="28" spans="1:26" x14ac:dyDescent="0.3">
      <c r="A28" s="6" t="s">
        <v>29</v>
      </c>
      <c r="B28" s="4">
        <v>101.203</v>
      </c>
      <c r="C28" s="4">
        <v>102.47199999999999</v>
      </c>
      <c r="D28" s="4">
        <v>99.446899999999999</v>
      </c>
      <c r="E28" s="4">
        <v>105.584</v>
      </c>
      <c r="F28" s="4">
        <v>94.977000000000004</v>
      </c>
      <c r="G28" s="4">
        <v>92.918499999999995</v>
      </c>
      <c r="H28" s="10">
        <f t="shared" ref="H28:H40" si="0">AVERAGE(B28:G28)</f>
        <v>99.433566666666664</v>
      </c>
      <c r="J28" s="4">
        <v>105.58499999999999</v>
      </c>
      <c r="K28" s="4">
        <v>107.72499999999999</v>
      </c>
      <c r="L28" s="4">
        <v>101.191</v>
      </c>
      <c r="M28" s="4">
        <v>97.924000000000007</v>
      </c>
      <c r="N28" s="4">
        <v>96.095100000000002</v>
      </c>
      <c r="O28" s="4">
        <v>98.151499999999999</v>
      </c>
      <c r="P28" s="10">
        <f t="shared" ref="P28:P40" si="1">AVERAGE(J28:O28)</f>
        <v>101.11193333333331</v>
      </c>
      <c r="R28" s="4">
        <v>93.001800000000003</v>
      </c>
      <c r="S28" s="4">
        <v>97.466700000000003</v>
      </c>
      <c r="T28" s="4">
        <v>93.471900000000005</v>
      </c>
      <c r="U28" s="4">
        <v>104.727</v>
      </c>
      <c r="V28" s="4">
        <v>105.73699999999999</v>
      </c>
      <c r="W28" s="4">
        <v>101.083</v>
      </c>
      <c r="X28" s="4">
        <v>99.8095</v>
      </c>
      <c r="Y28" s="4">
        <v>101.059</v>
      </c>
      <c r="Z28" s="10">
        <f t="shared" ref="Z28:Z40" si="2">AVERAGE(R28:Y28)</f>
        <v>99.544487499999988</v>
      </c>
    </row>
    <row r="29" spans="1:26" x14ac:dyDescent="0.3">
      <c r="A29" s="6" t="s">
        <v>43</v>
      </c>
      <c r="B29" s="4">
        <v>101.53400000000001</v>
      </c>
      <c r="C29" s="4">
        <v>102.456</v>
      </c>
      <c r="D29" s="4">
        <v>98.240499999999997</v>
      </c>
      <c r="E29" s="4">
        <v>92.372200000000007</v>
      </c>
      <c r="F29" s="4">
        <v>92.625100000000003</v>
      </c>
      <c r="G29" s="4">
        <v>93.243099999999998</v>
      </c>
      <c r="H29" s="10">
        <f t="shared" si="0"/>
        <v>96.74515000000001</v>
      </c>
      <c r="J29" s="4">
        <v>92.585999999999999</v>
      </c>
      <c r="K29" s="4">
        <v>106.857</v>
      </c>
      <c r="L29" s="4">
        <v>96.494299999999996</v>
      </c>
      <c r="M29" s="4">
        <v>95.571299999999994</v>
      </c>
      <c r="N29" s="4">
        <v>97.076099999999997</v>
      </c>
      <c r="O29" s="4">
        <v>93.482600000000005</v>
      </c>
      <c r="P29" s="10">
        <f t="shared" si="1"/>
        <v>97.01121666666667</v>
      </c>
      <c r="R29" s="4">
        <v>96.807699999999997</v>
      </c>
      <c r="S29" s="4">
        <v>93.789599999999993</v>
      </c>
      <c r="T29" s="4">
        <v>102.086</v>
      </c>
      <c r="U29" s="4">
        <v>114.73</v>
      </c>
      <c r="V29" s="4">
        <v>100.001</v>
      </c>
      <c r="W29" s="4">
        <v>103.078</v>
      </c>
      <c r="X29" s="4">
        <v>101.83799999999999</v>
      </c>
      <c r="Y29" s="4">
        <v>106.169</v>
      </c>
      <c r="Z29" s="10">
        <f t="shared" si="2"/>
        <v>102.31241249999999</v>
      </c>
    </row>
    <row r="30" spans="1:26" x14ac:dyDescent="0.3">
      <c r="A30" s="6" t="s">
        <v>44</v>
      </c>
      <c r="B30" s="4">
        <v>101.81</v>
      </c>
      <c r="C30" s="4">
        <v>103.09099999999999</v>
      </c>
      <c r="D30" s="4">
        <v>92.862300000000005</v>
      </c>
      <c r="E30" s="4">
        <v>92.155299999999997</v>
      </c>
      <c r="F30" s="4">
        <v>93.199399999999997</v>
      </c>
      <c r="G30" s="4">
        <v>90.947299999999998</v>
      </c>
      <c r="H30" s="10">
        <f t="shared" si="0"/>
        <v>95.677550000000011</v>
      </c>
      <c r="J30" s="4">
        <v>91.699600000000004</v>
      </c>
      <c r="K30" s="4">
        <v>98.803899999999999</v>
      </c>
      <c r="L30" s="4">
        <v>102.33499999999999</v>
      </c>
      <c r="M30" s="4">
        <v>95.099000000000004</v>
      </c>
      <c r="N30" s="4">
        <v>96.453500000000005</v>
      </c>
      <c r="O30" s="4">
        <v>92.482299999999995</v>
      </c>
      <c r="P30" s="10">
        <f t="shared" si="1"/>
        <v>96.14555</v>
      </c>
      <c r="R30" s="4">
        <v>93.006100000000004</v>
      </c>
      <c r="S30" s="4">
        <v>94.384200000000007</v>
      </c>
      <c r="T30" s="4">
        <v>100.491</v>
      </c>
      <c r="U30" s="4">
        <v>110.14700000000001</v>
      </c>
      <c r="V30" s="4">
        <v>105.71599999999999</v>
      </c>
      <c r="W30" s="4">
        <v>104.072</v>
      </c>
      <c r="X30" s="4">
        <v>101.854</v>
      </c>
      <c r="Y30" s="4">
        <v>105.676</v>
      </c>
      <c r="Z30" s="10">
        <f t="shared" si="2"/>
        <v>101.91828750000001</v>
      </c>
    </row>
    <row r="31" spans="1:26" x14ac:dyDescent="0.3">
      <c r="A31" s="6" t="s">
        <v>39</v>
      </c>
      <c r="B31" s="4">
        <v>100.928</v>
      </c>
      <c r="C31" s="4">
        <v>107.672</v>
      </c>
      <c r="D31" s="4">
        <v>98.398099999999999</v>
      </c>
      <c r="E31" s="4">
        <v>95.740200000000002</v>
      </c>
      <c r="F31" s="4">
        <v>92.220799999999997</v>
      </c>
      <c r="G31" s="4">
        <v>94.7804</v>
      </c>
      <c r="H31" s="10">
        <f t="shared" si="0"/>
        <v>98.28991666666667</v>
      </c>
      <c r="J31" s="4">
        <v>92.108500000000006</v>
      </c>
      <c r="K31" s="4">
        <v>104.31</v>
      </c>
      <c r="L31" s="4">
        <v>101.015</v>
      </c>
      <c r="M31" s="4">
        <v>96.517899999999997</v>
      </c>
      <c r="N31" s="4">
        <v>96.756200000000007</v>
      </c>
      <c r="O31" s="4">
        <v>93.201400000000007</v>
      </c>
      <c r="P31" s="10">
        <f t="shared" si="1"/>
        <v>97.31816666666667</v>
      </c>
      <c r="R31" s="4">
        <v>94.618200000000002</v>
      </c>
      <c r="S31" s="4">
        <v>89.620900000000006</v>
      </c>
      <c r="T31" s="4">
        <v>94.989500000000007</v>
      </c>
      <c r="U31" s="4">
        <v>106.794</v>
      </c>
      <c r="V31" s="4">
        <v>105.602</v>
      </c>
      <c r="W31" s="4">
        <v>101.913</v>
      </c>
      <c r="X31" s="4">
        <v>99.636399999999995</v>
      </c>
      <c r="Y31" s="4">
        <v>101.794</v>
      </c>
      <c r="Z31" s="10">
        <f t="shared" si="2"/>
        <v>99.370999999999995</v>
      </c>
    </row>
    <row r="32" spans="1:26" x14ac:dyDescent="0.3">
      <c r="A32" s="6" t="s">
        <v>30</v>
      </c>
      <c r="B32" s="4">
        <v>104.015</v>
      </c>
      <c r="C32" s="4">
        <v>104.46599999999999</v>
      </c>
      <c r="D32" s="4">
        <v>97.507000000000005</v>
      </c>
      <c r="E32" s="4">
        <v>95.140900000000002</v>
      </c>
      <c r="F32" s="4">
        <v>92.465900000000005</v>
      </c>
      <c r="G32" s="4">
        <v>93.4756</v>
      </c>
      <c r="H32" s="10">
        <f t="shared" si="0"/>
        <v>97.845066666666654</v>
      </c>
      <c r="J32" s="4">
        <v>94.273200000000003</v>
      </c>
      <c r="K32" s="4">
        <v>95.094099999999997</v>
      </c>
      <c r="L32" s="4">
        <v>98.462800000000001</v>
      </c>
      <c r="M32" s="4">
        <v>95.292199999999994</v>
      </c>
      <c r="N32" s="4">
        <v>93.819599999999994</v>
      </c>
      <c r="O32" s="4">
        <v>93.933400000000006</v>
      </c>
      <c r="P32" s="10">
        <f t="shared" si="1"/>
        <v>95.145883333333316</v>
      </c>
      <c r="R32" s="4">
        <v>94.616</v>
      </c>
      <c r="S32" s="4">
        <v>89.908500000000004</v>
      </c>
      <c r="T32" s="4">
        <v>89.601600000000005</v>
      </c>
      <c r="U32" s="4">
        <v>78.787000000000006</v>
      </c>
      <c r="V32" s="4">
        <v>105.801</v>
      </c>
      <c r="W32" s="4">
        <v>109.089</v>
      </c>
      <c r="X32" s="4">
        <v>102.005</v>
      </c>
      <c r="Y32" s="4">
        <v>105.429</v>
      </c>
      <c r="Z32" s="10">
        <f t="shared" si="2"/>
        <v>96.904637499999993</v>
      </c>
    </row>
    <row r="33" spans="1:26" x14ac:dyDescent="0.3">
      <c r="A33" s="6" t="s">
        <v>45</v>
      </c>
      <c r="B33" s="4">
        <v>106.444</v>
      </c>
      <c r="C33" s="4">
        <v>110.26</v>
      </c>
      <c r="D33" s="4">
        <v>105.18300000000001</v>
      </c>
      <c r="E33" s="4">
        <v>97.34</v>
      </c>
      <c r="F33" s="4">
        <v>97.953299999999999</v>
      </c>
      <c r="G33" s="4">
        <v>95.262699999999995</v>
      </c>
      <c r="H33" s="10">
        <f t="shared" si="0"/>
        <v>102.07383333333333</v>
      </c>
      <c r="J33" s="4">
        <v>95.668400000000005</v>
      </c>
      <c r="K33" s="4">
        <v>105.117</v>
      </c>
      <c r="L33" s="4">
        <v>99.282799999999995</v>
      </c>
      <c r="M33" s="4">
        <v>94.826400000000007</v>
      </c>
      <c r="N33" s="4">
        <v>97.295000000000002</v>
      </c>
      <c r="O33" s="4">
        <v>97.073899999999995</v>
      </c>
      <c r="P33" s="10">
        <f t="shared" si="1"/>
        <v>98.210583333333332</v>
      </c>
      <c r="R33" s="4">
        <v>97.026700000000005</v>
      </c>
      <c r="S33" s="4">
        <v>93.598500000000001</v>
      </c>
      <c r="T33" s="4">
        <v>99.991100000000003</v>
      </c>
      <c r="U33" s="4">
        <v>100.051</v>
      </c>
      <c r="V33" s="4">
        <v>102.925</v>
      </c>
      <c r="W33" s="4">
        <v>105.789</v>
      </c>
      <c r="X33" s="4">
        <v>106.113</v>
      </c>
      <c r="Y33" s="4">
        <v>105.02200000000001</v>
      </c>
      <c r="Z33" s="10">
        <f t="shared" si="2"/>
        <v>101.31453750000001</v>
      </c>
    </row>
    <row r="34" spans="1:26" x14ac:dyDescent="0.3">
      <c r="A34" s="6" t="s">
        <v>31</v>
      </c>
      <c r="B34" s="4">
        <v>106.455</v>
      </c>
      <c r="C34" s="4">
        <v>108.636</v>
      </c>
      <c r="D34" s="4">
        <v>110.125</v>
      </c>
      <c r="E34" s="4">
        <v>107.127</v>
      </c>
      <c r="F34" s="4">
        <v>98.619699999999995</v>
      </c>
      <c r="G34" s="4">
        <v>95.421899999999994</v>
      </c>
      <c r="H34" s="10">
        <f t="shared" si="0"/>
        <v>104.39743333333335</v>
      </c>
      <c r="J34" s="4">
        <v>95.741799999999998</v>
      </c>
      <c r="K34" s="4">
        <v>106.178</v>
      </c>
      <c r="L34" s="4">
        <v>97.868099999999998</v>
      </c>
      <c r="M34" s="4">
        <v>92.718400000000003</v>
      </c>
      <c r="N34" s="4">
        <v>93.729500000000002</v>
      </c>
      <c r="O34" s="4">
        <v>92.8</v>
      </c>
      <c r="P34" s="10">
        <f t="shared" si="1"/>
        <v>96.505966666666666</v>
      </c>
      <c r="R34" s="4">
        <v>98.782600000000002</v>
      </c>
      <c r="S34" s="4">
        <v>99.164699999999996</v>
      </c>
      <c r="T34" s="4">
        <v>99.022999999999996</v>
      </c>
      <c r="U34" s="4">
        <v>107.01300000000001</v>
      </c>
      <c r="V34" s="4">
        <v>98.859499999999997</v>
      </c>
      <c r="W34" s="4">
        <v>101.063</v>
      </c>
      <c r="X34" s="4">
        <v>102.229</v>
      </c>
      <c r="Y34" s="4">
        <v>99.521699999999996</v>
      </c>
      <c r="Z34" s="10">
        <f t="shared" si="2"/>
        <v>100.70706250000001</v>
      </c>
    </row>
    <row r="35" spans="1:26" x14ac:dyDescent="0.3">
      <c r="A35" s="6" t="s">
        <v>32</v>
      </c>
      <c r="B35" s="4">
        <v>102.056</v>
      </c>
      <c r="C35" s="4">
        <v>105.253</v>
      </c>
      <c r="D35" s="4">
        <v>108.301</v>
      </c>
      <c r="E35" s="4">
        <v>106.286</v>
      </c>
      <c r="F35" s="4">
        <v>103.566</v>
      </c>
      <c r="G35" s="4">
        <v>103.505</v>
      </c>
      <c r="H35" s="10">
        <f t="shared" si="0"/>
        <v>104.82783333333333</v>
      </c>
      <c r="J35" s="4">
        <v>101.569</v>
      </c>
      <c r="K35" s="4">
        <v>104.902</v>
      </c>
      <c r="L35" s="4">
        <v>92.787099999999995</v>
      </c>
      <c r="M35" s="4">
        <v>83.651200000000003</v>
      </c>
      <c r="N35" s="4">
        <v>90.488100000000003</v>
      </c>
      <c r="O35" s="4">
        <v>85.8643</v>
      </c>
      <c r="P35" s="10">
        <f t="shared" si="1"/>
        <v>93.210283333333336</v>
      </c>
      <c r="R35" s="4">
        <v>89.088499999999996</v>
      </c>
      <c r="S35" s="4">
        <v>87.978700000000003</v>
      </c>
      <c r="T35" s="4">
        <v>91.327399999999997</v>
      </c>
      <c r="U35" s="4">
        <v>97.668499999999995</v>
      </c>
      <c r="V35" s="4">
        <v>101.899</v>
      </c>
      <c r="W35" s="4">
        <v>97.680199999999999</v>
      </c>
      <c r="X35" s="4">
        <v>98.887699999999995</v>
      </c>
      <c r="Y35" s="4">
        <v>103.108</v>
      </c>
      <c r="Z35" s="10">
        <f t="shared" si="2"/>
        <v>95.95474999999999</v>
      </c>
    </row>
    <row r="36" spans="1:26" x14ac:dyDescent="0.3">
      <c r="A36" s="6" t="s">
        <v>33</v>
      </c>
      <c r="B36" s="4">
        <v>102.006</v>
      </c>
      <c r="C36" s="4">
        <v>100.881</v>
      </c>
      <c r="D36" s="4">
        <v>100.026</v>
      </c>
      <c r="E36" s="4">
        <v>101.893</v>
      </c>
      <c r="F36" s="4">
        <v>101.179</v>
      </c>
      <c r="G36" s="4">
        <v>103.566</v>
      </c>
      <c r="H36" s="10">
        <f t="shared" si="0"/>
        <v>101.59183333333334</v>
      </c>
      <c r="J36" s="4">
        <v>101.012</v>
      </c>
      <c r="K36" s="4">
        <v>99.254999999999995</v>
      </c>
      <c r="L36" s="4">
        <v>107.46599999999999</v>
      </c>
      <c r="M36" s="4">
        <v>106.126</v>
      </c>
      <c r="N36" s="4">
        <v>111.39</v>
      </c>
      <c r="O36" s="4">
        <v>114.08799999999999</v>
      </c>
      <c r="P36" s="10">
        <f t="shared" si="1"/>
        <v>106.55616666666667</v>
      </c>
      <c r="R36" s="4">
        <v>110.786</v>
      </c>
      <c r="S36" s="4">
        <v>111.83199999999999</v>
      </c>
      <c r="T36" s="4">
        <v>112.697</v>
      </c>
      <c r="U36" s="4">
        <v>117.20099999999999</v>
      </c>
      <c r="V36" s="4">
        <v>107.214</v>
      </c>
      <c r="W36" s="4">
        <v>108.46599999999999</v>
      </c>
      <c r="X36" s="4">
        <v>102.599</v>
      </c>
      <c r="Y36" s="4">
        <v>111.044</v>
      </c>
      <c r="Z36" s="10">
        <f t="shared" si="2"/>
        <v>110.22987500000001</v>
      </c>
    </row>
    <row r="37" spans="1:26" x14ac:dyDescent="0.3">
      <c r="A37" s="6" t="s">
        <v>41</v>
      </c>
      <c r="B37" s="4">
        <v>99.5702</v>
      </c>
      <c r="C37" s="4">
        <v>96.100800000000007</v>
      </c>
      <c r="D37" s="4">
        <v>97.458600000000004</v>
      </c>
      <c r="E37" s="4">
        <v>99.8917</v>
      </c>
      <c r="F37" s="4">
        <v>98.235799999999998</v>
      </c>
      <c r="G37" s="4">
        <v>96.8202</v>
      </c>
      <c r="H37" s="10">
        <f t="shared" si="0"/>
        <v>98.01288333333332</v>
      </c>
      <c r="J37" s="4">
        <v>96.2209</v>
      </c>
      <c r="K37" s="4">
        <v>100.246</v>
      </c>
      <c r="L37" s="4">
        <v>92.583200000000005</v>
      </c>
      <c r="M37" s="4">
        <v>90.681299999999993</v>
      </c>
      <c r="N37" s="4">
        <v>90.226200000000006</v>
      </c>
      <c r="O37" s="4">
        <v>93.813199999999995</v>
      </c>
      <c r="P37" s="10">
        <f t="shared" si="1"/>
        <v>93.961799999999997</v>
      </c>
      <c r="R37" s="4">
        <v>90.380799999999994</v>
      </c>
      <c r="S37" s="4">
        <v>77.273600000000002</v>
      </c>
      <c r="T37" s="4">
        <v>85.802099999999996</v>
      </c>
      <c r="U37" s="4">
        <v>88.517499999999998</v>
      </c>
      <c r="V37" s="4">
        <v>101.49</v>
      </c>
      <c r="W37" s="4">
        <v>105.39</v>
      </c>
      <c r="X37" s="4">
        <v>96.299599999999998</v>
      </c>
      <c r="Y37" s="4">
        <v>106.471</v>
      </c>
      <c r="Z37" s="10">
        <f t="shared" si="2"/>
        <v>93.953075000000013</v>
      </c>
    </row>
    <row r="38" spans="1:26" x14ac:dyDescent="0.3">
      <c r="A38" s="6" t="s">
        <v>34</v>
      </c>
      <c r="B38" s="4">
        <v>85.113399999999999</v>
      </c>
      <c r="C38" s="4">
        <v>83.821100000000001</v>
      </c>
      <c r="D38" s="4">
        <v>84.684200000000004</v>
      </c>
      <c r="E38" s="4">
        <v>84.868300000000005</v>
      </c>
      <c r="F38" s="4">
        <v>83.224900000000005</v>
      </c>
      <c r="G38" s="4">
        <v>84.660799999999995</v>
      </c>
      <c r="H38" s="10">
        <f t="shared" si="0"/>
        <v>84.395449999999997</v>
      </c>
      <c r="J38" s="4">
        <v>85.8172</v>
      </c>
      <c r="K38" s="4">
        <v>89.274199999999993</v>
      </c>
      <c r="L38" s="4">
        <v>78.445599999999999</v>
      </c>
      <c r="M38" s="4">
        <v>74.188900000000004</v>
      </c>
      <c r="N38" s="4">
        <v>77.662099999999995</v>
      </c>
      <c r="O38" s="4">
        <v>77.924000000000007</v>
      </c>
      <c r="P38" s="10">
        <f t="shared" si="1"/>
        <v>80.552000000000007</v>
      </c>
      <c r="R38" s="4">
        <v>67.085800000000006</v>
      </c>
      <c r="S38" s="4">
        <v>81.345699999999994</v>
      </c>
      <c r="T38" s="4">
        <v>81.543199999999999</v>
      </c>
      <c r="U38" s="4">
        <v>82.092699999999994</v>
      </c>
      <c r="V38" s="4">
        <v>76.860100000000003</v>
      </c>
      <c r="W38" s="4">
        <v>74.505399999999995</v>
      </c>
      <c r="X38" s="4">
        <v>71.007599999999996</v>
      </c>
      <c r="Y38" s="4">
        <v>79.7864</v>
      </c>
      <c r="Z38" s="10">
        <f t="shared" si="2"/>
        <v>76.778362499999986</v>
      </c>
    </row>
    <row r="39" spans="1:26" x14ac:dyDescent="0.3">
      <c r="A39" s="6" t="s">
        <v>35</v>
      </c>
      <c r="B39" s="4">
        <v>14.753399999999999</v>
      </c>
      <c r="C39" s="4">
        <v>17.3691</v>
      </c>
      <c r="D39" s="4">
        <v>16.613800000000001</v>
      </c>
      <c r="E39" s="4">
        <v>17.306699999999999</v>
      </c>
      <c r="H39" s="10">
        <f t="shared" si="0"/>
        <v>16.510750000000002</v>
      </c>
      <c r="J39" s="4">
        <v>19.760200000000001</v>
      </c>
      <c r="K39" s="4">
        <v>20.588899999999999</v>
      </c>
      <c r="L39" s="4">
        <v>18.8066</v>
      </c>
      <c r="M39" s="4">
        <v>16.5747</v>
      </c>
      <c r="P39" s="10">
        <f t="shared" si="1"/>
        <v>18.932600000000001</v>
      </c>
      <c r="R39" s="4">
        <v>18.375800000000002</v>
      </c>
      <c r="S39" s="4">
        <v>16.997699999999998</v>
      </c>
      <c r="T39" s="4">
        <v>18.720700000000001</v>
      </c>
      <c r="U39" s="4">
        <v>14.666</v>
      </c>
      <c r="W39" s="4"/>
      <c r="X39" s="4"/>
      <c r="Y39" s="4"/>
      <c r="Z39" s="10">
        <f t="shared" si="2"/>
        <v>17.190049999999999</v>
      </c>
    </row>
    <row r="40" spans="1:26" x14ac:dyDescent="0.3">
      <c r="A40" s="6" t="s">
        <v>36</v>
      </c>
      <c r="B40" s="4">
        <v>10.992100000000001</v>
      </c>
      <c r="C40" s="4">
        <v>9.7653700000000008</v>
      </c>
      <c r="D40" s="4">
        <v>9.0318299999999994</v>
      </c>
      <c r="E40" s="4">
        <v>9.0646100000000001</v>
      </c>
      <c r="F40" s="4">
        <v>8.4809000000000001</v>
      </c>
      <c r="G40" s="4">
        <v>8.1531500000000001</v>
      </c>
      <c r="H40" s="10">
        <f t="shared" si="0"/>
        <v>9.2479933333333335</v>
      </c>
      <c r="J40" s="4">
        <v>8.2982999999999993</v>
      </c>
      <c r="K40" s="4">
        <v>9.8605699999999992</v>
      </c>
      <c r="L40" s="4">
        <v>9.6576799999999992</v>
      </c>
      <c r="M40" s="4">
        <v>8.5402100000000001</v>
      </c>
      <c r="N40" s="4">
        <v>8.20153</v>
      </c>
      <c r="O40" s="4">
        <v>9.2081900000000001</v>
      </c>
      <c r="P40" s="10">
        <f t="shared" si="1"/>
        <v>8.9610800000000008</v>
      </c>
      <c r="R40" s="4">
        <v>8.6338500000000007</v>
      </c>
      <c r="S40" s="4">
        <v>8.6198099999999993</v>
      </c>
      <c r="T40" s="4">
        <v>7.80199</v>
      </c>
      <c r="U40" s="4">
        <v>9.6764100000000006</v>
      </c>
      <c r="V40" s="4">
        <v>8.1968499999999995</v>
      </c>
      <c r="W40" s="4">
        <v>8.3170300000000008</v>
      </c>
      <c r="X40" s="4">
        <v>7.1527399999999997</v>
      </c>
      <c r="Y40" s="4">
        <v>10.2554</v>
      </c>
      <c r="Z40" s="10">
        <f t="shared" si="2"/>
        <v>8.5817600000000009</v>
      </c>
    </row>
    <row r="43" spans="1:26" x14ac:dyDescent="0.3">
      <c r="G43" t="s">
        <v>28</v>
      </c>
      <c r="H43">
        <v>100.00448333333334</v>
      </c>
      <c r="I43">
        <v>105.50500000000001</v>
      </c>
      <c r="J43">
        <v>104.50967500000002</v>
      </c>
    </row>
    <row r="44" spans="1:26" x14ac:dyDescent="0.3">
      <c r="G44" t="s">
        <v>29</v>
      </c>
      <c r="H44">
        <v>99.433566666666664</v>
      </c>
      <c r="I44">
        <v>101.11193333333331</v>
      </c>
      <c r="J44">
        <v>99.544487499999988</v>
      </c>
    </row>
    <row r="45" spans="1:26" x14ac:dyDescent="0.3">
      <c r="G45" t="s">
        <v>43</v>
      </c>
      <c r="H45">
        <v>96.74515000000001</v>
      </c>
      <c r="I45">
        <v>97.01121666666667</v>
      </c>
      <c r="J45">
        <v>102.31241249999999</v>
      </c>
    </row>
    <row r="46" spans="1:26" x14ac:dyDescent="0.3">
      <c r="G46" t="s">
        <v>44</v>
      </c>
      <c r="H46">
        <v>95.677550000000011</v>
      </c>
      <c r="I46">
        <v>96.14555</v>
      </c>
      <c r="J46">
        <v>101.91828750000001</v>
      </c>
    </row>
    <row r="47" spans="1:26" x14ac:dyDescent="0.3">
      <c r="G47" t="s">
        <v>39</v>
      </c>
      <c r="H47">
        <v>98.28991666666667</v>
      </c>
      <c r="I47">
        <v>97.31816666666667</v>
      </c>
      <c r="J47">
        <v>99.370999999999995</v>
      </c>
    </row>
    <row r="48" spans="1:26" x14ac:dyDescent="0.3">
      <c r="G48" t="s">
        <v>30</v>
      </c>
      <c r="H48">
        <v>97.845066666666654</v>
      </c>
      <c r="I48">
        <v>95.145883333333316</v>
      </c>
      <c r="J48">
        <v>96.904637499999993</v>
      </c>
    </row>
    <row r="49" spans="7:10" x14ac:dyDescent="0.3">
      <c r="G49" t="s">
        <v>45</v>
      </c>
      <c r="H49">
        <v>102.07383333333333</v>
      </c>
      <c r="I49">
        <v>98.210583333333332</v>
      </c>
      <c r="J49">
        <v>101.31453750000001</v>
      </c>
    </row>
    <row r="50" spans="7:10" x14ac:dyDescent="0.3">
      <c r="G50" t="s">
        <v>31</v>
      </c>
      <c r="H50">
        <v>104.39743333333335</v>
      </c>
      <c r="I50">
        <v>96.505966666666666</v>
      </c>
      <c r="J50">
        <v>100.70706250000001</v>
      </c>
    </row>
    <row r="51" spans="7:10" x14ac:dyDescent="0.3">
      <c r="G51" t="s">
        <v>32</v>
      </c>
      <c r="H51">
        <v>104.82783333333333</v>
      </c>
      <c r="I51">
        <v>93.210283333333336</v>
      </c>
      <c r="J51">
        <v>95.95474999999999</v>
      </c>
    </row>
    <row r="52" spans="7:10" x14ac:dyDescent="0.3">
      <c r="G52" t="s">
        <v>33</v>
      </c>
      <c r="H52">
        <v>101.59183333333334</v>
      </c>
      <c r="I52">
        <v>106.55616666666667</v>
      </c>
      <c r="J52">
        <v>110.22987500000001</v>
      </c>
    </row>
    <row r="53" spans="7:10" x14ac:dyDescent="0.3">
      <c r="G53" t="s">
        <v>41</v>
      </c>
      <c r="H53">
        <v>98.01288333333332</v>
      </c>
      <c r="I53">
        <v>93.961799999999997</v>
      </c>
      <c r="J53">
        <v>93.953075000000013</v>
      </c>
    </row>
    <row r="54" spans="7:10" x14ac:dyDescent="0.3">
      <c r="G54" t="s">
        <v>34</v>
      </c>
      <c r="H54">
        <v>84.395449999999997</v>
      </c>
      <c r="I54">
        <v>80.552000000000007</v>
      </c>
      <c r="J54">
        <v>76.778362499999986</v>
      </c>
    </row>
    <row r="55" spans="7:10" x14ac:dyDescent="0.3">
      <c r="G55" t="s">
        <v>35</v>
      </c>
      <c r="H55">
        <v>16.510750000000002</v>
      </c>
      <c r="I55">
        <v>18.932600000000001</v>
      </c>
      <c r="J55">
        <v>17.190049999999999</v>
      </c>
    </row>
    <row r="56" spans="7:10" x14ac:dyDescent="0.3">
      <c r="G56" t="s">
        <v>36</v>
      </c>
      <c r="H56">
        <v>9.2479933333333335</v>
      </c>
      <c r="I56">
        <v>8.9610800000000008</v>
      </c>
      <c r="J56">
        <v>8.5817600000000009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Westernblot -HTR8</vt:lpstr>
      <vt:lpstr>qPCR - HTR8</vt:lpstr>
      <vt:lpstr>qPCR - BeWo</vt:lpstr>
      <vt:lpstr>Westernblot - bewo</vt:lpstr>
      <vt:lpstr>BEWO SRB</vt:lpstr>
      <vt:lpstr>HTR8 SRB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Tathyana Benetis</dc:creator>
  <cp:lastModifiedBy>Tathyana Benetis</cp:lastModifiedBy>
  <dcterms:created xsi:type="dcterms:W3CDTF">2025-09-08T01:10:42Z</dcterms:created>
  <dcterms:modified xsi:type="dcterms:W3CDTF">2026-02-11T21:55:16Z</dcterms:modified>
</cp:coreProperties>
</file>